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https://o365cju-my.sharepoint.com/personal/che0416_office_cju_ac_kr/Documents/연구실 자료/연구실_노인균형프로토콜/데이터 정리-설문, 신체계측, 기타 데이터/"/>
    </mc:Choice>
  </mc:AlternateContent>
  <xr:revisionPtr revIDLastSave="10818" documentId="11_0DFC3F11208528AF1E393DA781A6F70D618DB4A9" xr6:coauthVersionLast="47" xr6:coauthVersionMax="47" xr10:uidLastSave="{9FAEBDBB-F678-4CC9-B2AB-3B5A4EE0701A}"/>
  <bookViews>
    <workbookView xWindow="-108" yWindow="-108" windowWidth="41496" windowHeight="16896" activeTab="1" xr2:uid="{00000000-000D-0000-FFFF-FFFF00000000}"/>
  </bookViews>
  <sheets>
    <sheet name="platform" sheetId="1" r:id="rId1"/>
    <sheet name="meta" sheetId="2" r:id="rId2"/>
    <sheet name="report_meta_inform_mixed" sheetId="11" r:id="rId3"/>
    <sheet name="actual_velocity" sheetId="12" r:id="rId4"/>
    <sheet name="report_meta_inform" sheetId="10" r:id="rId5"/>
    <sheet name="transpose_meta" sheetId="4" r:id="rId6"/>
    <sheet name="aggregate_mixed" sheetId="5" r:id="rId7"/>
  </sheets>
  <functionGroups builtInGroupCount="19"/>
  <definedNames>
    <definedName name="_xlnm._FilterDatabase" localSheetId="0" hidden="1">platform!$K$1:$K$951</definedName>
    <definedName name="_xlnm._FilterDatabase" localSheetId="5">transpose_meta!$A$1:$CI$55</definedName>
    <definedName name="_xlpm.cats">#NAME?</definedName>
    <definedName name="_xlpm.cnt">#NAME?</definedName>
    <definedName name="_xlpm.col">#NAME?</definedName>
    <definedName name="_xlpm.d">#NAME?</definedName>
    <definedName name="_xlpm.data">#NAME?</definedName>
    <definedName name="_xlpm.extra">#NAME?</definedName>
    <definedName name="_xlpm.hdr">#NAME?</definedName>
    <definedName name="_xlpm.hdrRow">#NAME?</definedName>
    <definedName name="_xlpm.header">#NAME?</definedName>
    <definedName name="_xlpm.idx">#NAME?</definedName>
    <definedName name="_xlpm.inAll">#NAME?</definedName>
    <definedName name="_xlpm.inBody">#NAME?</definedName>
    <definedName name="_xlpm.inHead">#NAME?</definedName>
    <definedName name="_xlpm.itemCol">#NAME?</definedName>
    <definedName name="_xlpm.m" hidden="1" xlm="1">#NAME?</definedName>
    <definedName name="_xlpm.metaAll">#NAME?</definedName>
    <definedName name="_xlpm.metaBody">#NAME?</definedName>
    <definedName name="_xlpm.metaHead">#NAME?</definedName>
    <definedName name="_xlpm.metaHeadAll">#NAME?</definedName>
    <definedName name="_xlpm.metaHeader">#NAME?</definedName>
    <definedName name="_xlpm.metaSrc">#NAME?</definedName>
    <definedName name="_xlpm.metaSubjects">#NAME?</definedName>
    <definedName name="_xlpm.n">#NAME?</definedName>
    <definedName name="_xlpm.ns">#NAME?</definedName>
    <definedName name="_xlpm.nums">#NAME?</definedName>
    <definedName name="_xlpm.s" hidden="1" xlm="1">#NAME?</definedName>
    <definedName name="_xlpm.st">#NAME?</definedName>
    <definedName name="_xlpm.subjColIn">#NAME?</definedName>
    <definedName name="_xlpm.subjColMeta">#NAME?</definedName>
    <definedName name="_xlpm.subjRow">#NAME?</definedName>
    <definedName name="_xlpm.t" hidden="1" xlm="1">#NAME?</definedName>
    <definedName name="_xlpm.v">#NAME?</definedName>
    <definedName name="_xlpm.values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78" i="2" l="1"/>
  <c r="BI58" i="2"/>
  <c r="BI57" i="2"/>
  <c r="BI56" i="2"/>
  <c r="BI39" i="2"/>
  <c r="BH78" i="2"/>
  <c r="BH58" i="2"/>
  <c r="BH57" i="2"/>
  <c r="BH56" i="2"/>
  <c r="BH39" i="2"/>
  <c r="BG58" i="2"/>
  <c r="BG57" i="2"/>
  <c r="BG56" i="2"/>
  <c r="BG39" i="2"/>
  <c r="BF58" i="2"/>
  <c r="BF57" i="2"/>
  <c r="BF56" i="2"/>
  <c r="BF39" i="2"/>
  <c r="BE58" i="2"/>
  <c r="BE57" i="2"/>
  <c r="BE56" i="2"/>
  <c r="BE39" i="2"/>
  <c r="BD58" i="2"/>
  <c r="BD57" i="2"/>
  <c r="BD56" i="2"/>
  <c r="BD39" i="2"/>
  <c r="F3" i="5"/>
  <c r="G3" i="5"/>
  <c r="F4" i="5"/>
  <c r="G4" i="5"/>
  <c r="F5" i="5"/>
  <c r="G5" i="5"/>
  <c r="F6" i="5"/>
  <c r="G6" i="5"/>
  <c r="F7" i="5"/>
  <c r="G7" i="5"/>
  <c r="F8" i="5"/>
  <c r="G8" i="5"/>
  <c r="F9" i="5"/>
  <c r="G9" i="5"/>
  <c r="F10" i="5"/>
  <c r="G10" i="5"/>
  <c r="F11" i="5"/>
  <c r="G11" i="5"/>
  <c r="F12" i="5"/>
  <c r="G12" i="5"/>
  <c r="F13" i="5"/>
  <c r="G13" i="5"/>
  <c r="F14" i="5"/>
  <c r="G14" i="5"/>
  <c r="F15" i="5"/>
  <c r="G15" i="5"/>
  <c r="F16" i="5"/>
  <c r="G16" i="5"/>
  <c r="F17" i="5"/>
  <c r="G17" i="5"/>
  <c r="F18" i="5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F25" i="5"/>
  <c r="G25" i="5"/>
  <c r="F26" i="5"/>
  <c r="G26" i="5"/>
  <c r="F27" i="5"/>
  <c r="G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3" i="5"/>
  <c r="G43" i="5"/>
  <c r="F44" i="5"/>
  <c r="G44" i="5"/>
  <c r="F45" i="5"/>
  <c r="G45" i="5"/>
  <c r="F46" i="5"/>
  <c r="G46" i="5"/>
  <c r="F47" i="5"/>
  <c r="G47" i="5"/>
  <c r="F48" i="5"/>
  <c r="G48" i="5"/>
  <c r="F49" i="5"/>
  <c r="G49" i="5"/>
  <c r="F50" i="5"/>
  <c r="G50" i="5"/>
  <c r="F51" i="5"/>
  <c r="G51" i="5"/>
  <c r="F52" i="5"/>
  <c r="G52" i="5"/>
  <c r="F53" i="5"/>
  <c r="G53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I3" i="5" a="1"/>
  <c r="I11" i="5" a="1"/>
  <c r="I19" i="5" a="1"/>
  <c r="I27" i="5" a="1"/>
  <c r="I35" i="5" a="1"/>
  <c r="I43" i="5" a="1"/>
  <c r="I51" i="5" a="1"/>
  <c r="I13" i="5" a="1"/>
  <c r="I21" i="5" a="1"/>
  <c r="I4" i="5" a="1"/>
  <c r="I12" i="5" a="1"/>
  <c r="I20" i="5" a="1"/>
  <c r="I28" i="5" a="1"/>
  <c r="I36" i="5" a="1"/>
  <c r="I44" i="5" a="1"/>
  <c r="I52" i="5" a="1"/>
  <c r="I37" i="5" a="1"/>
  <c r="I5" i="5" a="1"/>
  <c r="I29" i="5" a="1"/>
  <c r="I53" i="5" a="1"/>
  <c r="I6" i="5" a="1"/>
  <c r="I14" i="5" a="1"/>
  <c r="I22" i="5" a="1"/>
  <c r="I30" i="5" a="1"/>
  <c r="I38" i="5" a="1"/>
  <c r="I46" i="5" a="1"/>
  <c r="I49" i="5" a="1"/>
  <c r="I33" i="5" a="1"/>
  <c r="I7" i="5" a="1"/>
  <c r="I15" i="5" a="1"/>
  <c r="I23" i="5" a="1"/>
  <c r="I31" i="5" a="1"/>
  <c r="I39" i="5" a="1"/>
  <c r="I47" i="5" a="1"/>
  <c r="I41" i="5" a="1"/>
  <c r="I25" i="5" a="1"/>
  <c r="I8" i="5" a="1"/>
  <c r="I16" i="5" a="1"/>
  <c r="I24" i="5" a="1"/>
  <c r="I32" i="5" a="1"/>
  <c r="I40" i="5" a="1"/>
  <c r="I48" i="5" a="1"/>
  <c r="I17" i="5" a="1"/>
  <c r="I9" i="5" a="1"/>
  <c r="I10" i="5" a="1"/>
  <c r="I18" i="5" a="1"/>
  <c r="I26" i="5" a="1"/>
  <c r="I34" i="5" a="1"/>
  <c r="I42" i="5" a="1"/>
  <c r="I50" i="5" a="1"/>
  <c r="I45" i="5" a="1"/>
  <c r="I45" i="5" l="1"/>
  <c r="I50" i="5"/>
  <c r="I42" i="5"/>
  <c r="I34" i="5"/>
  <c r="I26" i="5"/>
  <c r="I18" i="5"/>
  <c r="I10" i="5"/>
  <c r="I9" i="5"/>
  <c r="I17" i="5"/>
  <c r="I48" i="5"/>
  <c r="I40" i="5"/>
  <c r="I32" i="5"/>
  <c r="I24" i="5"/>
  <c r="I16" i="5"/>
  <c r="I8" i="5"/>
  <c r="I25" i="5"/>
  <c r="I41" i="5"/>
  <c r="I47" i="5"/>
  <c r="I39" i="5"/>
  <c r="I31" i="5"/>
  <c r="I23" i="5"/>
  <c r="I15" i="5"/>
  <c r="I7" i="5"/>
  <c r="I33" i="5"/>
  <c r="I49" i="5"/>
  <c r="I46" i="5"/>
  <c r="I38" i="5"/>
  <c r="I30" i="5"/>
  <c r="I22" i="5"/>
  <c r="I14" i="5"/>
  <c r="I6" i="5"/>
  <c r="I53" i="5"/>
  <c r="I29" i="5"/>
  <c r="I5" i="5"/>
  <c r="I37" i="5"/>
  <c r="I52" i="5"/>
  <c r="I44" i="5"/>
  <c r="I36" i="5"/>
  <c r="I28" i="5"/>
  <c r="I20" i="5"/>
  <c r="I12" i="5"/>
  <c r="I4" i="5"/>
  <c r="I21" i="5"/>
  <c r="I13" i="5"/>
  <c r="I51" i="5"/>
  <c r="I43" i="5"/>
  <c r="I35" i="5"/>
  <c r="I27" i="5"/>
  <c r="I19" i="5"/>
  <c r="I11" i="5"/>
  <c r="I3" i="5"/>
  <c r="E16" i="5"/>
  <c r="E25" i="5"/>
  <c r="E49" i="5"/>
  <c r="E27" i="5"/>
  <c r="E37" i="5"/>
  <c r="E48" i="5"/>
  <c r="E31" i="5"/>
  <c r="E15" i="5"/>
  <c r="E7" i="5"/>
  <c r="E46" i="5"/>
  <c r="E38" i="5"/>
  <c r="E30" i="5"/>
  <c r="E22" i="5"/>
  <c r="E14" i="5"/>
  <c r="E6" i="5"/>
  <c r="E28" i="5"/>
  <c r="E12" i="5"/>
  <c r="E4" i="5"/>
  <c r="E26" i="5"/>
  <c r="E18" i="5"/>
  <c r="E42" i="5"/>
  <c r="E13" i="5"/>
  <c r="E10" i="5"/>
  <c r="E24" i="5"/>
  <c r="E39" i="5"/>
  <c r="E36" i="5"/>
  <c r="E51" i="5"/>
  <c r="E35" i="5"/>
  <c r="E19" i="5"/>
  <c r="E3" i="5"/>
  <c r="E50" i="5"/>
  <c r="E34" i="5"/>
  <c r="E52" i="5"/>
  <c r="E40" i="5"/>
  <c r="E53" i="5"/>
  <c r="E44" i="5"/>
  <c r="E32" i="5"/>
  <c r="E20" i="5"/>
  <c r="E8" i="5"/>
  <c r="E23" i="5"/>
  <c r="E11" i="5"/>
  <c r="E47" i="5"/>
  <c r="E45" i="5"/>
  <c r="E33" i="5"/>
  <c r="E21" i="5"/>
  <c r="E9" i="5"/>
  <c r="E43" i="5"/>
  <c r="E41" i="5"/>
  <c r="E29" i="5"/>
  <c r="E17" i="5"/>
  <c r="E5" i="5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B2" i="5"/>
  <c r="A2" i="5"/>
  <c r="A1" i="4"/>
  <c r="X58" i="2"/>
  <c r="W58" i="2"/>
  <c r="Q58" i="2"/>
  <c r="P58" i="2"/>
  <c r="O58" i="2"/>
  <c r="N58" i="2"/>
  <c r="M58" i="2"/>
  <c r="K58" i="2"/>
  <c r="J58" i="2"/>
  <c r="I58" i="2"/>
  <c r="H58" i="2"/>
  <c r="BB57" i="2"/>
  <c r="X57" i="2"/>
  <c r="W57" i="2"/>
  <c r="Q57" i="2"/>
  <c r="P57" i="2"/>
  <c r="O57" i="2"/>
  <c r="N57" i="2"/>
  <c r="K57" i="2"/>
  <c r="J57" i="2"/>
  <c r="I57" i="2"/>
  <c r="H27" i="5"/>
  <c r="H53" i="5"/>
  <c r="H12" i="5"/>
  <c r="H31" i="5"/>
  <c r="H24" i="5"/>
  <c r="H19" i="5"/>
  <c r="H29" i="5"/>
  <c r="H4" i="5"/>
  <c r="H45" i="5"/>
  <c r="H13" i="5"/>
  <c r="H42" i="5"/>
  <c r="H6" i="5"/>
  <c r="H46" i="5"/>
  <c r="H35" i="5"/>
  <c r="H36" i="5"/>
  <c r="H26" i="5"/>
  <c r="H41" i="5"/>
  <c r="H7" i="5"/>
  <c r="H34" i="5"/>
  <c r="H20" i="5"/>
  <c r="H49" i="5"/>
  <c r="H40" i="5"/>
  <c r="H50" i="5"/>
  <c r="H23" i="5"/>
  <c r="H14" i="5"/>
  <c r="H11" i="5"/>
  <c r="H51" i="5"/>
  <c r="H8" i="5"/>
  <c r="H43" i="5"/>
  <c r="H33" i="5"/>
  <c r="H32" i="5"/>
  <c r="H37" i="5"/>
  <c r="H28" i="5"/>
  <c r="H5" i="5"/>
  <c r="H17" i="5"/>
  <c r="H47" i="5"/>
  <c r="H44" i="5"/>
  <c r="H52" i="5"/>
  <c r="H9" i="5"/>
  <c r="H25" i="5"/>
  <c r="H18" i="5"/>
  <c r="H10" i="5"/>
  <c r="H16" i="5"/>
  <c r="H3" i="5"/>
  <c r="H21" i="5"/>
  <c r="H30" i="5"/>
  <c r="H15" i="5"/>
  <c r="H39" i="5"/>
  <c r="H48" i="5"/>
  <c r="H38" i="5"/>
  <c r="H22" i="5"/>
  <c r="I2" i="5" a="1"/>
  <c r="H2" i="5"/>
  <c r="I2" i="5" l="1"/>
  <c r="C2" i="5"/>
  <c r="G2" i="5"/>
  <c r="F2" i="5"/>
  <c r="D2" i="5"/>
  <c r="E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tc={48C8ADF6-A982-4298-933A-AF458C3B7849}</author>
    <author>tc={0399CC80-AC8D-4366-B63A-A93C9C5C66D9}</author>
    <author>tc={EB90CC60-8D56-4F99-B92F-B4C6910A9F91}</author>
    <author>tc={F2293E54-B21E-4EEC-8C86-0F1A5B3F3671}</author>
    <author>tc={31306CCB-A81D-47F6-A89C-C0626F261639}</author>
    <author>tc={D0646EB3-A44F-4E8F-B302-16A080155B67}</author>
    <author>tc={40899F4F-4AE3-48F5-8946-73937DD5F1B5}</author>
    <author>tc={5BB4DBC1-8E2A-4CC1-B181-7B4B903BB628}</author>
    <author>tc={0402A55E-0B32-45FC-A9AA-524D3221B9AB}</author>
    <author>tc={E8DCEE70-AB19-4907-B4C6-DAB74E1C2E4D}</author>
    <author>tc={A83E5431-267A-4A3C-BA1E-EE477EEB35AD}</author>
    <author>tc={A514AA96-E5C7-44BE-8AC5-38246DF124DB}</author>
    <author>tc={7526C4E7-E15D-48EA-A539-2854CE6C32EB}</author>
    <author>tc={D1E29AA5-1B71-419F-B0C0-1617F6EF3902}</author>
    <author>tc={35C29584-869B-46BE-B874-C43F6C4764DE}</author>
    <author>tc={93625537-1442-4ADC-A4E5-4A3B3BCF69CE}</author>
  </authors>
  <commentList>
    <comment ref="J3" authorId="0" shapeId="0" xr:uid="{48C8ADF6-A982-4298-933A-AF458C3B784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4" authorId="1" shapeId="0" xr:uid="{0399CC80-AC8D-4366-B63A-A93C9C5C66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5" authorId="2" shapeId="0" xr:uid="{EB90CC60-8D56-4F99-B92F-B4C6910A9F9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92" authorId="3" shapeId="0" xr:uid="{F2293E54-B21E-4EEC-8C86-0F1A5B3F367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134" authorId="4" shapeId="0" xr:uid="{31306CCB-A81D-47F6-A89C-C0626F26163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310" authorId="5" shapeId="0" xr:uid="{D0646EB3-A44F-4E8F-B302-16A080155B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670" authorId="6" shapeId="0" xr:uid="{40899F4F-4AE3-48F5-8946-73937DD5F1B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672" authorId="7" shapeId="0" xr:uid="{5BB4DBC1-8E2A-4CC1-B181-7B4B903BB62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A684" authorId="8" shapeId="0" xr:uid="{0402A55E-0B32-45FC-A9AA-524D3221B9AB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STRN 마커 없음. </t>
      </text>
    </comment>
    <comment ref="A685" authorId="9" shapeId="0" xr:uid="{E8DCEE70-AB19-4907-B4C6-DAB74E1C2E4D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STRN 마커 없음. </t>
      </text>
    </comment>
    <comment ref="J720" authorId="10" shapeId="0" xr:uid="{A83E5431-267A-4A3C-BA1E-EE477EEB35A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23" authorId="11" shapeId="0" xr:uid="{A514AA96-E5C7-44BE-8AC5-38246DF124D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25" authorId="12" shapeId="0" xr:uid="{7526C4E7-E15D-48EA-A539-2854CE6C32E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34" authorId="13" shapeId="0" xr:uid="{D1E29AA5-1B71-419F-B0C0-1617F6EF390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37" authorId="14" shapeId="0" xr:uid="{35C29584-869B-46BE-B874-C43F6C4764D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A923" authorId="15" shapeId="0" xr:uid="{93625537-1442-4ADC-A4E5-4A3B3BCF69CE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motion 데이터 못 살림. 불가능.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<sst xmlns="http://schemas.openxmlformats.org/spreadsheetml/2006/main" count="3947" uniqueCount="236">
  <si>
    <t>subject</t>
  </si>
  <si>
    <t>velocity</t>
  </si>
  <si>
    <t>trial</t>
  </si>
  <si>
    <t>state</t>
  </si>
  <si>
    <t>step_TF</t>
  </si>
  <si>
    <t>RPS</t>
  </si>
  <si>
    <t>mixed</t>
  </si>
  <si>
    <t>platform_onset</t>
  </si>
  <si>
    <t>platform_offset</t>
  </si>
  <si>
    <t>step_onset</t>
    <phoneticPr fontId="5" type="noConversion"/>
  </si>
  <si>
    <t>ㅇ</t>
    <phoneticPr fontId="5" type="noConversion"/>
  </si>
  <si>
    <t>이훈</t>
  </si>
  <si>
    <t>footlift</t>
  </si>
  <si>
    <t>nonstep</t>
  </si>
  <si>
    <t>step_L</t>
  </si>
  <si>
    <t>step</t>
  </si>
  <si>
    <t>step_R</t>
  </si>
  <si>
    <t>김연옥</t>
  </si>
  <si>
    <t>김윤자</t>
  </si>
  <si>
    <t>이순우</t>
  </si>
  <si>
    <t>전현숙</t>
  </si>
  <si>
    <t>한영희</t>
  </si>
  <si>
    <t>신향식</t>
  </si>
  <si>
    <t>여윤숙</t>
  </si>
  <si>
    <t>노선자</t>
  </si>
  <si>
    <t>문경서</t>
  </si>
  <si>
    <t>조민석</t>
  </si>
  <si>
    <t>김영자</t>
  </si>
  <si>
    <t>송석란</t>
  </si>
  <si>
    <t>연윤희</t>
  </si>
  <si>
    <t>김종철</t>
  </si>
  <si>
    <t>임남순</t>
  </si>
  <si>
    <t>이정재</t>
  </si>
  <si>
    <t>정태웅</t>
  </si>
  <si>
    <t>한정란</t>
  </si>
  <si>
    <t>이운복</t>
  </si>
  <si>
    <t>이명희</t>
  </si>
  <si>
    <t>유병한</t>
  </si>
  <si>
    <t>신동석</t>
  </si>
  <si>
    <t>최보민</t>
  </si>
  <si>
    <t>이지수</t>
  </si>
  <si>
    <t>김우연</t>
  </si>
  <si>
    <t>이상민</t>
  </si>
  <si>
    <t>김세준</t>
  </si>
  <si>
    <t>박수빈</t>
  </si>
  <si>
    <t>김민정</t>
  </si>
  <si>
    <t>권유영</t>
  </si>
  <si>
    <t>오인태</t>
  </si>
  <si>
    <t>정성윤</t>
  </si>
  <si>
    <t>김병수</t>
  </si>
  <si>
    <t>유도경</t>
  </si>
  <si>
    <t>정혜진</t>
  </si>
  <si>
    <t>박진우</t>
  </si>
  <si>
    <t>성효은</t>
  </si>
  <si>
    <t>이인섭</t>
  </si>
  <si>
    <t>유재원</t>
  </si>
  <si>
    <t>안지연</t>
  </si>
  <si>
    <t>방수진</t>
  </si>
  <si>
    <t>김유민</t>
  </si>
  <si>
    <t>이은수</t>
  </si>
  <si>
    <t>방주원</t>
  </si>
  <si>
    <t>김서하</t>
  </si>
  <si>
    <t>임상우</t>
  </si>
  <si>
    <t>최지유</t>
  </si>
  <si>
    <t>강비은</t>
  </si>
  <si>
    <t xml:space="preserve"> </t>
  </si>
  <si>
    <t>가윤호</t>
  </si>
  <si>
    <t>오나영</t>
  </si>
  <si>
    <t>이재유</t>
  </si>
  <si>
    <t>김홍숙</t>
  </si>
  <si>
    <t>유제용</t>
  </si>
  <si>
    <t>유연윤</t>
  </si>
  <si>
    <t>임기순</t>
  </si>
  <si>
    <t>김정식</t>
  </si>
  <si>
    <t>박월순</t>
  </si>
  <si>
    <t>김희춘</t>
  </si>
  <si>
    <t>지기봉</t>
  </si>
  <si>
    <t>성별</t>
  </si>
  <si>
    <t>F</t>
  </si>
  <si>
    <t>M</t>
  </si>
  <si>
    <t>나이</t>
  </si>
  <si>
    <t>키</t>
  </si>
  <si>
    <t>몸무게</t>
  </si>
  <si>
    <t>1년간 낙상여부</t>
  </si>
  <si>
    <t>O</t>
  </si>
  <si>
    <t>X</t>
  </si>
  <si>
    <t>주손 or 주발</t>
  </si>
  <si>
    <t>R</t>
  </si>
  <si>
    <t>L</t>
  </si>
  <si>
    <t>다리길이</t>
  </si>
  <si>
    <t>어깨둘레_왼</t>
  </si>
  <si>
    <t>어깨둘레_오른</t>
  </si>
  <si>
    <t>팔꿈치넓이_왼</t>
  </si>
  <si>
    <t>팔꿈치넓이_오른</t>
  </si>
  <si>
    <t>손목넓이_왼</t>
  </si>
  <si>
    <t>손목넓이_오른</t>
  </si>
  <si>
    <t>무릎넓이_왼</t>
  </si>
  <si>
    <t>무릎넓이_오른</t>
  </si>
  <si>
    <t>발목넓이_왼</t>
  </si>
  <si>
    <t>발목넓이_오른</t>
  </si>
  <si>
    <t>발넓이_왼</t>
  </si>
  <si>
    <t>발넓이_오른</t>
  </si>
  <si>
    <t>발길이_왼</t>
  </si>
  <si>
    <t>발길이_오른</t>
  </si>
  <si>
    <t>ABC_1</t>
  </si>
  <si>
    <t>ABC_2</t>
  </si>
  <si>
    <t>ABC_3</t>
  </si>
  <si>
    <t>ABC_4</t>
  </si>
  <si>
    <t>ABC_5</t>
  </si>
  <si>
    <t>ABC_6</t>
  </si>
  <si>
    <t>ABC_7</t>
  </si>
  <si>
    <t>ABC_8</t>
  </si>
  <si>
    <t>ABC_9</t>
  </si>
  <si>
    <t>ABC_10</t>
  </si>
  <si>
    <t>ABC_11</t>
  </si>
  <si>
    <t>ABC_12</t>
  </si>
  <si>
    <t>ABC_13</t>
  </si>
  <si>
    <t>ABC_14</t>
  </si>
  <si>
    <t>ABC_15</t>
  </si>
  <si>
    <t>ABC_16</t>
  </si>
  <si>
    <t>ABC_평균</t>
    <phoneticPr fontId="5" type="noConversion"/>
  </si>
  <si>
    <t>FES_1</t>
  </si>
  <si>
    <t>FES_2</t>
  </si>
  <si>
    <t>FES_3</t>
  </si>
  <si>
    <t>FES_4</t>
  </si>
  <si>
    <t>FES_5</t>
  </si>
  <si>
    <t>FES_6</t>
  </si>
  <si>
    <t>FES_7</t>
  </si>
  <si>
    <t>FES_8</t>
  </si>
  <si>
    <t>FES_9</t>
  </si>
  <si>
    <t>FES_10</t>
  </si>
  <si>
    <t>FES_11</t>
  </si>
  <si>
    <t>FES_12</t>
  </si>
  <si>
    <t>FES_13</t>
  </si>
  <si>
    <t>FES_14</t>
  </si>
  <si>
    <t>FES_15</t>
  </si>
  <si>
    <t>FES_16</t>
  </si>
  <si>
    <t>FES_총점</t>
  </si>
  <si>
    <t>backward_dir(cm)</t>
  </si>
  <si>
    <t>forward_dir(cm)</t>
  </si>
  <si>
    <t>TUG_slow(s)</t>
  </si>
  <si>
    <t>TUG_fast(s)</t>
  </si>
  <si>
    <t>SLS_R_1(s)</t>
  </si>
  <si>
    <t>SLS_R_2(s)</t>
  </si>
  <si>
    <t>SLS_L_1(s)</t>
  </si>
  <si>
    <t>SLS_L_2(s)</t>
  </si>
  <si>
    <t>grip_R_1(kg)</t>
  </si>
  <si>
    <t>grip_R_2(kg)</t>
  </si>
  <si>
    <t>grip_L_1(kg)</t>
  </si>
  <si>
    <t>grip_L_2(kg)</t>
  </si>
  <si>
    <t>sit_to_stand_squat</t>
  </si>
  <si>
    <t>체전굴</t>
  </si>
  <si>
    <t>실험_특이사항(주관)</t>
  </si>
  <si>
    <t>왼쪽 다리 매우 약함. 보행 시 오른 다리로 밀어서 보행해서 왼쪽방향으로 치우침. 스쿼트, 시 왼쪽 엉덩이 빠짐. SLS시 왼발 버티기 아예 안됨. 허리 아파서 체전굴 실시 불가</t>
  </si>
  <si>
    <t xml:space="preserve">양쪽 발목 불안. 다친적은 없음. 병원 간적 없음. 
gait trial 8번까지 emg 16번 문제있음. 그 이후는 문제 없음. </t>
  </si>
  <si>
    <t xml:space="preserve">배드민턴 복식 선출. 헬스 한지 1년차. 3대 380. </t>
    <phoneticPr fontId="5" type="noConversion"/>
  </si>
  <si>
    <t xml:space="preserve">옛날에 맨몸, 헬스 운동 좀 함. 지금은 안함 </t>
  </si>
  <si>
    <t xml:space="preserve">고등학생까지 야구 선출. 현재 보디빌딩 운동 중. 몸 매우 좋음. </t>
  </si>
  <si>
    <t xml:space="preserve">검도 3년 운동 했음. 현재 복싱 2개월 차 </t>
  </si>
  <si>
    <t>헬스, 달리기(장거리 5~10km) 2년 동안 운동 지속. 
perturbation 실험 시 특이사항: `A자세 -&gt; platform qsn -&gt; perturbation -&gt; A자세` 상황에서 4자세 모두 ESL 근활성이 다름. 해당 부분은 매우 중요한 사항인 것 같음</t>
  </si>
  <si>
    <t xml:space="preserve">헬스 주로 함. 킥복싱 최근에 시작. perturbation 실험 시 왼발로 딛겠다고 생각하니 낮은 강도에서 잘 못버티겠다고 말함. </t>
  </si>
  <si>
    <t xml:space="preserve">고등학생 때 오른쪽 발목 부상. 최근 운동 시 왼쪽 무릎 patella 통증 </t>
  </si>
  <si>
    <t>왼발이차서 왼발로 stepping 하는것 같다</t>
  </si>
  <si>
    <t>IPAQ_1(day)</t>
  </si>
  <si>
    <t>IPAQ_2(min)</t>
  </si>
  <si>
    <t>IPAQ_3(day)</t>
  </si>
  <si>
    <t>IPAQ_4(min)</t>
  </si>
  <si>
    <t>IPAQ_5(day)</t>
  </si>
  <si>
    <t>IPAQ_6(min)</t>
  </si>
  <si>
    <t>IPAQ_7(min)</t>
  </si>
  <si>
    <t>기초건강설문지_1-1</t>
  </si>
  <si>
    <t>기초건강설문지_1-2</t>
  </si>
  <si>
    <t>기초건강설문지_2-1</t>
  </si>
  <si>
    <t>기초건강설문지_2-2</t>
  </si>
  <si>
    <t>기초건강설문지_3</t>
  </si>
  <si>
    <t>기초건강설문지_4</t>
  </si>
  <si>
    <t>기초건강설문지_5</t>
  </si>
  <si>
    <t>기초건강설문지_6</t>
  </si>
  <si>
    <t>1년 이내 허리 디스크 20일 입원</t>
  </si>
  <si>
    <t>기초건강설문지_특이사항</t>
  </si>
  <si>
    <t>혈압약 25년, 고혈압, 교통사고, 종아리골절수술 -&gt; 현재 철심 없음, 오른쪽 검지 절단,</t>
  </si>
  <si>
    <t>골다공증 10년, 목디스크, 허리 골절 이력있음. 치매약</t>
  </si>
  <si>
    <t>뇌경색 20년, 협심증, 협심증약, 뇌경색 약 복용</t>
  </si>
  <si>
    <t>2년에 한번씩 장꼬임으로 입원(1주일~10일), 장수술, 혈압약, 고지혈증, 전립선약</t>
  </si>
  <si>
    <t>위암, 관절약, 골다공증, 비타민, 눈영양제</t>
  </si>
  <si>
    <t xml:space="preserve"> 무릎수술, 파킨슨병, 파킨슨약, 피부과약</t>
  </si>
  <si>
    <t>무릎수술, 인공관절, 복강영수술, 맹장, 혈압약, 골다공증(3~6개월에 한번씩 주사)</t>
  </si>
  <si>
    <t>혈압약, 류마티스, 심장약(=협십증약, 니트로글리세린), 왼쪽 무릎 관절 주사</t>
  </si>
  <si>
    <t>허리통증 100%로 하자면 30%정도의 통증있음. 발목 손가락이 자주 저린지 4-5년 됌. 작년 1월쯤 버스안에서 넘어져서 2주 입원함. 50세쯤 복강염으로 수술받음, 위장약, 머리경색약 10년 이상 복용중</t>
  </si>
  <si>
    <t>5년 이상 전에 차사고나서 입원만 해본적 있음. 혈압약과 치매약 복용중</t>
  </si>
  <si>
    <t>가끔 어쩌다 한번 앉았다 일어서면 눈앞이 핑돌때 있음. 15년 전 협착즈으로 허리시술 받음. 혈압약, 고지혈증약, 혈액순환약 세가지 모두 복용한지 보름쯤 됐음</t>
  </si>
  <si>
    <t>18-19년동에 유방암, 요관암(?)으로 수술받음. 주 6회 하루 2-30분정도 수영을 꾸준히 다니고 있음</t>
  </si>
  <si>
    <t>5년이상 수술내역으로 자궁들어내는 수술함. 신장이 안좋아서 약복용이 전체적으로 어렵고, 고기류 같은 영양소 있는 음식도 잘 못먹는다고 함. 20년 전쯤 계단에서 넘어진 적 있음</t>
  </si>
  <si>
    <t>나팔관에 이명이 있어서 입원한적 있음. 콜라겐 영양제 복용중. 운동 열심히 하려는 경향 높음. 요가꾸준히. 집에서 찾아서 하기도 함</t>
  </si>
  <si>
    <t>그룹</t>
  </si>
  <si>
    <t>N</t>
  </si>
  <si>
    <t>Male</t>
  </si>
  <si>
    <t>Female</t>
  </si>
  <si>
    <t>전체</t>
  </si>
  <si>
    <t>13 (37%)</t>
  </si>
  <si>
    <t>22 (63%)</t>
  </si>
  <si>
    <t>젊은 성인</t>
  </si>
  <si>
    <t>11 (46%)</t>
  </si>
  <si>
    <t>13 (54%)</t>
  </si>
  <si>
    <t>노인</t>
  </si>
  <si>
    <t>2 (18%)</t>
  </si>
  <si>
    <t>9 (82%)</t>
  </si>
  <si>
    <t>변수</t>
  </si>
  <si>
    <t>평균</t>
  </si>
  <si>
    <t>표준편차</t>
  </si>
  <si>
    <t>최소</t>
  </si>
  <si>
    <t>최대</t>
  </si>
  <si>
    <t>Trials</t>
  </si>
  <si>
    <t>Step_trials</t>
  </si>
  <si>
    <t>Nonstep_trials</t>
  </si>
  <si>
    <t>Velocities</t>
  </si>
  <si>
    <t>SLS_best</t>
  </si>
  <si>
    <t>grip_best</t>
  </si>
  <si>
    <t>velocity</t>
    <phoneticPr fontId="15" type="noConversion"/>
  </si>
  <si>
    <t>actual_velocity</t>
    <phoneticPr fontId="15" type="noConversion"/>
  </si>
  <si>
    <t>23 (38%)</t>
  </si>
  <si>
    <t>38 (62%)</t>
  </si>
  <si>
    <t>18 (53%)</t>
  </si>
  <si>
    <t>16 (47%)</t>
  </si>
  <si>
    <t>5 (19%)</t>
  </si>
  <si>
    <t>22 (81%)</t>
  </si>
  <si>
    <t>ABC_총점</t>
  </si>
  <si>
    <t>No.</t>
  </si>
  <si>
    <t>Subject</t>
  </si>
  <si>
    <t>Mixed</t>
  </si>
  <si>
    <t>Total</t>
  </si>
  <si>
    <t>Mixed/Total</t>
  </si>
  <si>
    <t>Step</t>
  </si>
  <si>
    <t>Nonstep</t>
  </si>
  <si>
    <t>Mixed Velocities</t>
  </si>
  <si>
    <t>Mixed Velocity (avg)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</si>
</sst>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맑은 고딕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맑은 고딕"/>
      <family val="2"/>
    </font>
    <font>
      <b/>
      <sz val="11"/>
      <color rgb="FF000000"/>
      <name val="맑은 고딕"/>
      <family val="2"/>
    </font>
    <font>
      <sz val="11"/>
      <color rgb="FF000000"/>
      <name val="맑은 고딕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Calibri"/>
      <family val="2"/>
    </font>
    <font>
      <sz val="11"/>
      <color rgb="FF000000"/>
      <name val="맑은 고딕"/>
      <family val="3"/>
      <charset val="129"/>
    </font>
    <font>
      <sz val="11"/>
      <name val="Calibri"/>
      <family val="2"/>
    </font>
    <font>
      <sz val="11"/>
      <name val="맑은 고딕"/>
      <family val="2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2"/>
    </font>
    <font>
      <b/>
      <sz val="11"/>
      <color theme="5"/>
      <name val="맑은 고딕"/>
      <family val="2"/>
      <scheme val="minor"/>
    </font>
    <font>
      <sz val="11"/>
      <color rgb="FF242424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66092"/>
      </patternFill>
    </fill>
    <fill>
      <patternFill patternType="solid">
        <fgColor rgb="FFF2F2F2"/>
      </patternFill>
    </fill>
    <fill>
      <patternFill patternType="solid">
        <fgColor rgb="FF4472C4"/>
      </patternFill>
    </fill>
  </fills>
  <borders count="27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C6C6C6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8FAADC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8FAADC"/>
      </right>
      <top style="thin">
        <color rgb="FFC6C6C6"/>
      </top>
      <bottom style="thin">
        <color rgb="FFC6C6C6"/>
      </bottom>
      <diagonal/>
    </border>
    <border>
      <left style="thin">
        <color rgb="FF8FAADC"/>
      </left>
      <right/>
      <top style="thin">
        <color rgb="FF8FAADC"/>
      </top>
      <bottom/>
      <diagonal/>
    </border>
    <border>
      <left/>
      <right/>
      <top style="thin">
        <color rgb="FF8FAADC"/>
      </top>
      <bottom/>
      <diagonal/>
    </border>
    <border>
      <left/>
      <right/>
      <top style="thin">
        <color rgb="FF8FAADC"/>
      </top>
      <bottom style="thin">
        <color rgb="FF8FAADC"/>
      </bottom>
      <diagonal/>
    </border>
    <border>
      <left/>
      <right style="thin">
        <color rgb="FF8FAADC"/>
      </right>
      <top style="thin">
        <color rgb="FF8FAADC"/>
      </top>
      <bottom/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8FAADC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8FAADC"/>
      </right>
      <top style="thin">
        <color rgb="FFB2B2B2"/>
      </top>
      <bottom/>
      <diagonal/>
    </border>
    <border>
      <left style="thin">
        <color rgb="FF8FAADC"/>
      </left>
      <right/>
      <top style="thin">
        <color rgb="FF8FAADC"/>
      </top>
      <bottom style="thin">
        <color rgb="FF8FAADC"/>
      </bottom>
      <diagonal/>
    </border>
    <border>
      <left/>
      <right style="thin">
        <color rgb="FF8FAADC"/>
      </right>
      <top style="thin">
        <color rgb="FF8FAADC"/>
      </top>
      <bottom style="thin">
        <color rgb="FF8FAADC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/>
      <diagonal/>
    </border>
    <border>
      <left style="dashed">
        <color rgb="FF000000"/>
      </left>
      <right/>
      <top style="dashed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center"/>
    </xf>
  </cellStyleXfs>
  <cellXfs count="86">
    <xf numFmtId="0" fontId="0" fillId="0" borderId="0" xfId="0"/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4" fontId="1" fillId="0" borderId="1" xfId="0" applyNumberFormat="1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4" fontId="1" fillId="0" borderId="1" xfId="0" applyNumberFormat="1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3" fontId="2" fillId="2" borderId="2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3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3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3" fillId="4" borderId="7" xfId="0" applyNumberFormat="1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3" fontId="3" fillId="4" borderId="8" xfId="0" applyNumberFormat="1" applyFont="1" applyFill="1" applyBorder="1" applyAlignment="1">
      <alignment horizontal="center"/>
    </xf>
    <xf numFmtId="3" fontId="4" fillId="0" borderId="10" xfId="0" applyNumberFormat="1" applyFont="1" applyBorder="1" applyAlignment="1">
      <alignment horizontal="center"/>
    </xf>
    <xf numFmtId="3" fontId="4" fillId="0" borderId="12" xfId="0" applyNumberFormat="1" applyFont="1" applyBorder="1" applyAlignment="1">
      <alignment horizontal="center"/>
    </xf>
    <xf numFmtId="3" fontId="4" fillId="0" borderId="13" xfId="0" applyNumberFormat="1" applyFont="1" applyBorder="1" applyAlignment="1">
      <alignment horizontal="center"/>
    </xf>
    <xf numFmtId="3" fontId="4" fillId="0" borderId="14" xfId="0" applyNumberFormat="1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3" fontId="1" fillId="0" borderId="10" xfId="0" applyNumberFormat="1" applyFont="1" applyBorder="1" applyAlignment="1">
      <alignment horizontal="center"/>
    </xf>
    <xf numFmtId="3" fontId="1" fillId="0" borderId="12" xfId="0" applyNumberFormat="1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3" fontId="1" fillId="0" borderId="15" xfId="0" applyNumberFormat="1" applyFont="1" applyBorder="1" applyAlignment="1">
      <alignment horizontal="center"/>
    </xf>
    <xf numFmtId="3" fontId="1" fillId="0" borderId="16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3" fontId="4" fillId="0" borderId="15" xfId="0" applyNumberFormat="1" applyFont="1" applyBorder="1" applyAlignment="1">
      <alignment horizontal="center"/>
    </xf>
    <xf numFmtId="3" fontId="1" fillId="0" borderId="18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1" fillId="0" borderId="21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3" fontId="1" fillId="0" borderId="22" xfId="0" applyNumberFormat="1" applyFont="1" applyBorder="1" applyAlignment="1">
      <alignment horizontal="center"/>
    </xf>
    <xf numFmtId="3" fontId="1" fillId="0" borderId="14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3" fontId="1" fillId="0" borderId="24" xfId="0" applyNumberFormat="1" applyFont="1" applyBorder="1" applyAlignment="1">
      <alignment horizontal="center"/>
    </xf>
    <xf numFmtId="3" fontId="1" fillId="0" borderId="23" xfId="0" applyNumberFormat="1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3" fontId="4" fillId="0" borderId="23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3" fontId="4" fillId="0" borderId="24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4" fontId="1" fillId="0" borderId="23" xfId="0" applyNumberFormat="1" applyFont="1" applyBorder="1" applyAlignment="1">
      <alignment horizontal="center"/>
    </xf>
    <xf numFmtId="0" fontId="0" fillId="0" borderId="25" xfId="0" applyBorder="1"/>
    <xf numFmtId="4" fontId="0" fillId="0" borderId="0" xfId="0" applyNumberFormat="1" applyAlignment="1">
      <alignment horizontal="center"/>
    </xf>
    <xf numFmtId="4" fontId="8" fillId="0" borderId="0" xfId="1" applyNumberFormat="1" applyFont="1" applyAlignment="1">
      <alignment horizontal="center"/>
    </xf>
    <xf numFmtId="0" fontId="9" fillId="0" borderId="0" xfId="0" applyFont="1"/>
    <xf numFmtId="0" fontId="10" fillId="0" borderId="2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2" fontId="9" fillId="0" borderId="0" xfId="0" applyNumberFormat="1" applyFont="1"/>
    <xf numFmtId="0" fontId="1" fillId="0" borderId="11" xfId="0" applyFont="1" applyBorder="1" applyAlignment="1">
      <alignment horizontal="center"/>
    </xf>
    <xf numFmtId="3" fontId="11" fillId="0" borderId="23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3" fillId="0" borderId="23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3" fontId="14" fillId="0" borderId="23" xfId="0" applyNumberFormat="1" applyFont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3" fontId="13" fillId="0" borderId="24" xfId="0" applyNumberFormat="1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0" fontId="16" fillId="4" borderId="6" xfId="0" applyFont="1" applyFill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9" fillId="0" borderId="0" xfId="0" applyFont="1" applyAlignment="1">
      <alignment horizontal="center"/>
    </xf>
    <xf numFmtId="4" fontId="20" fillId="3" borderId="5" xfId="0" applyNumberFormat="1" applyFont="1" applyFill="1" applyBorder="1" applyAlignment="1">
      <alignment horizontal="center" vertical="center"/>
    </xf>
    <xf numFmtId="4" fontId="21" fillId="0" borderId="0" xfId="0" applyNumberFormat="1" applyFont="1" applyAlignment="1">
      <alignment horizontal="center" vertical="center"/>
    </xf>
    <xf numFmtId="4" fontId="17" fillId="0" borderId="1" xfId="0" applyNumberFormat="1" applyFont="1" applyBorder="1" applyAlignment="1">
      <alignment horizontal="center"/>
    </xf>
    <xf numFmtId="4" fontId="19" fillId="0" borderId="0" xfId="0" applyNumberFormat="1" applyFont="1" applyAlignment="1">
      <alignment horizontal="center"/>
    </xf>
    <xf numFmtId="4" fontId="19" fillId="0" borderId="1" xfId="0" applyNumberFormat="1" applyFont="1" applyBorder="1" applyAlignment="1">
      <alignment horizontal="center"/>
    </xf>
    <xf numFmtId="4" fontId="22" fillId="0" borderId="1" xfId="0" applyNumberFormat="1" applyFont="1" applyBorder="1" applyAlignment="1">
      <alignment horizontal="center"/>
    </xf>
    <xf numFmtId="4" fontId="8" fillId="0" borderId="1" xfId="1" applyNumberFormat="1" applyFont="1" applyBorder="1" applyAlignment="1">
      <alignment horizontal="center"/>
    </xf>
    <xf numFmtId="0" fontId="10" fillId="0" borderId="0" xfId="0" applyFont="1" applyAlignment="1">
      <alignment horizontal="center"/>
    </xf>
  </cellXfs>
  <cellStyles count="2">
    <cellStyle name="경고문" xfId="1" builtinId="11"/>
    <cellStyle name="표준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Calibri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조민석" id="{40EA64C5-6399-4485-93C9-82B7E58AF7F7}" userId="S::che0416@office.cju.ac.kr::2ac5da6f-b9b9-4d20-8c84-280e6746a464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in" displayName="tbl_in" ref="A1:J1041" totalsRowShown="0" headerRowDxfId="3">
  <autoFilter ref="A1:J1041" xr:uid="{00000000-0009-0000-0100-000001000000}"/>
  <tableColumns count="10">
    <tableColumn id="1" xr3:uid="{00000000-0010-0000-0000-000001000000}" name="subject" dataDxfId="2"/>
    <tableColumn id="2" xr3:uid="{00000000-0010-0000-0000-000002000000}" name="velocity"/>
    <tableColumn id="3" xr3:uid="{00000000-0010-0000-0000-000003000000}" name="trial"/>
    <tableColumn id="4" xr3:uid="{00000000-0010-0000-0000-000004000000}" name="state" dataDxfId="1"/>
    <tableColumn id="5" xr3:uid="{00000000-0010-0000-0000-000005000000}" name="step_TF" dataDxfId="0"/>
    <tableColumn id="6" xr3:uid="{00000000-0010-0000-0000-000006000000}" name="RPS"/>
    <tableColumn id="7" xr3:uid="{00000000-0010-0000-0000-000007000000}" name="mixed"/>
    <tableColumn id="8" xr3:uid="{00000000-0010-0000-0000-000008000000}" name="platform_onset"/>
    <tableColumn id="9" xr3:uid="{00000000-0010-0000-0000-000009000000}" name="platform_offset"/>
    <tableColumn id="10" xr3:uid="{1A026554-3EF2-4E11-8714-4C3052A8C119}" name="step_onse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3" dT="2026-01-15T11:13:56.45" personId="{40EA64C5-6399-4485-93C9-82B7E58AF7F7}" id="{48C8ADF6-A982-4298-933A-AF458C3B7849}">
    <text>검출불가</text>
  </threadedComment>
  <threadedComment ref="J4" dT="2026-01-15T11:13:56.45" personId="{40EA64C5-6399-4485-93C9-82B7E58AF7F7}" id="{0399CC80-AC8D-4366-B63A-A93C9C5C66D9}">
    <text>검출불가</text>
  </threadedComment>
  <threadedComment ref="J5" dT="2026-01-15T11:13:56.45" personId="{40EA64C5-6399-4485-93C9-82B7E58AF7F7}" id="{EB90CC60-8D56-4F99-B92F-B4C6910A9F91}">
    <text>검출불가</text>
  </threadedComment>
  <threadedComment ref="J92" dT="2026-01-15T11:13:56.45" personId="{40EA64C5-6399-4485-93C9-82B7E58AF7F7}" id="{F2293E54-B21E-4EEC-8C86-0F1A5B3F3671}">
    <text>검출불가</text>
  </threadedComment>
  <threadedComment ref="J134" dT="2026-01-15T11:13:56.45" personId="{40EA64C5-6399-4485-93C9-82B7E58AF7F7}" id="{31306CCB-A81D-47F6-A89C-C0626F261639}">
    <text>검출불가</text>
  </threadedComment>
  <threadedComment ref="J310" dT="2026-01-15T11:13:56.45" personId="{40EA64C5-6399-4485-93C9-82B7E58AF7F7}" id="{D0646EB3-A44F-4E8F-B302-16A080155B67}">
    <text>검출불가</text>
  </threadedComment>
  <threadedComment ref="J670" dT="2026-01-15T11:13:56.45" personId="{40EA64C5-6399-4485-93C9-82B7E58AF7F7}" id="{40899F4F-4AE3-48F5-8946-73937DD5F1B5}">
    <text>검출불가</text>
  </threadedComment>
  <threadedComment ref="J672" dT="2026-01-15T11:13:56.45" personId="{40EA64C5-6399-4485-93C9-82B7E58AF7F7}" id="{5BB4DBC1-8E2A-4CC1-B181-7B4B903BB628}">
    <text>검출불가</text>
  </threadedComment>
  <threadedComment ref="A684" dT="2026-01-08T12:03:59.15" personId="{40EA64C5-6399-4485-93C9-82B7E58AF7F7}" id="{0402A55E-0B32-45FC-A9AA-524D3221B9AB}">
    <text xml:space="preserve">STRN 마커 없음. </text>
  </threadedComment>
  <threadedComment ref="A685" dT="2026-01-08T12:03:59.15" personId="{40EA64C5-6399-4485-93C9-82B7E58AF7F7}" id="{E8DCEE70-AB19-4907-B4C6-DAB74E1C2E4D}">
    <text xml:space="preserve">STRN 마커 없음. </text>
  </threadedComment>
  <threadedComment ref="J720" dT="2026-01-15T11:13:56.45" personId="{40EA64C5-6399-4485-93C9-82B7E58AF7F7}" id="{A83E5431-267A-4A3C-BA1E-EE477EEB35AD}">
    <text>검출불가</text>
  </threadedComment>
  <threadedComment ref="J723" dT="2026-01-15T11:13:56.45" personId="{40EA64C5-6399-4485-93C9-82B7E58AF7F7}" id="{A514AA96-E5C7-44BE-8AC5-38246DF124DB}">
    <text>검출불가</text>
  </threadedComment>
  <threadedComment ref="J725" dT="2026-01-15T11:13:56.45" personId="{40EA64C5-6399-4485-93C9-82B7E58AF7F7}" id="{7526C4E7-E15D-48EA-A539-2854CE6C32EB}">
    <text>검출불가</text>
  </threadedComment>
  <threadedComment ref="J734" dT="2026-01-15T11:13:56.45" personId="{40EA64C5-6399-4485-93C9-82B7E58AF7F7}" id="{D1E29AA5-1B71-419F-B0C0-1617F6EF3902}">
    <text>검출불가</text>
  </threadedComment>
  <threadedComment ref="J737" dT="2026-01-15T11:13:56.45" personId="{40EA64C5-6399-4485-93C9-82B7E58AF7F7}" id="{35C29584-869B-46BE-B874-C43F6C4764DE}">
    <text>검출불가</text>
  </threadedComment>
  <threadedComment ref="A923" dT="2026-01-07T13:36:28.03" personId="{40EA64C5-6399-4485-93C9-82B7E58AF7F7}" id="{93625537-1442-4ADC-A4E5-4A3B3BCF69CE}">
    <text xml:space="preserve">motion 데이터 못 살림. 불가능.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outlinePr summaryBelow="0"/>
  </sheetPr>
  <dimension ref="A1:K1039"/>
  <sheetViews>
    <sheetView zoomScale="115" zoomScaleNormal="115" workbookViewId="0">
      <pane ySplit="1" topLeftCell="A422" activePane="bottomLeft" state="frozen"/>
      <selection pane="bottomLeft" activeCell="A422" sqref="A422"/>
    </sheetView>
  </sheetViews>
  <sheetFormatPr defaultColWidth="8.59765625" defaultRowHeight="17.399999999999999"/>
  <cols>
    <col min="1" max="1" width="9" style="77" bestFit="1" customWidth="1"/>
    <col min="2" max="2" width="9.09765625" style="15" bestFit="1" customWidth="1"/>
    <col min="3" max="3" width="7.59765625" style="15" bestFit="1" customWidth="1"/>
    <col min="4" max="5" width="13.59765625" style="16" bestFit="1" customWidth="1"/>
    <col min="6" max="6" width="8.59765625" style="15" bestFit="1" customWidth="1"/>
    <col min="7" max="7" width="10" style="15" bestFit="1" customWidth="1"/>
    <col min="8" max="8" width="9.09765625" style="15" bestFit="1" customWidth="1"/>
    <col min="9" max="9" width="13.59765625" style="15" bestFit="1" customWidth="1"/>
    <col min="10" max="10" width="12.59765625" bestFit="1" customWidth="1"/>
    <col min="11" max="11" width="27.5" bestFit="1" customWidth="1"/>
  </cols>
  <sheetData>
    <row r="1" spans="1:11" ht="21" customHeight="1">
      <c r="A1" s="69" t="s">
        <v>0</v>
      </c>
      <c r="B1" s="17" t="s">
        <v>1</v>
      </c>
      <c r="C1" s="17" t="s">
        <v>2</v>
      </c>
      <c r="D1" s="18" t="s">
        <v>3</v>
      </c>
      <c r="E1" s="18" t="s">
        <v>4</v>
      </c>
      <c r="F1" s="19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59" t="s">
        <v>10</v>
      </c>
    </row>
    <row r="2" spans="1:11" ht="21" customHeight="1">
      <c r="A2" s="70" t="s">
        <v>11</v>
      </c>
      <c r="B2" s="20">
        <v>5</v>
      </c>
      <c r="C2" s="20">
        <v>1</v>
      </c>
      <c r="D2" s="45" t="s">
        <v>12</v>
      </c>
      <c r="E2" s="57" t="s">
        <v>13</v>
      </c>
      <c r="F2" s="21">
        <v>1</v>
      </c>
      <c r="G2" s="22">
        <v>0</v>
      </c>
      <c r="H2" s="20">
        <v>3431</v>
      </c>
      <c r="I2" s="20">
        <v>3640</v>
      </c>
      <c r="J2" s="1"/>
      <c r="K2" s="1"/>
    </row>
    <row r="3" spans="1:11" ht="21" customHeight="1">
      <c r="A3" s="70" t="s">
        <v>11</v>
      </c>
      <c r="B3" s="20">
        <v>15</v>
      </c>
      <c r="C3" s="20">
        <v>1</v>
      </c>
      <c r="D3" s="45" t="s">
        <v>14</v>
      </c>
      <c r="E3" s="57" t="s">
        <v>15</v>
      </c>
      <c r="F3" s="21">
        <v>5</v>
      </c>
      <c r="G3" s="23">
        <v>0</v>
      </c>
      <c r="H3" s="20">
        <v>2943</v>
      </c>
      <c r="I3" s="20">
        <v>3019</v>
      </c>
      <c r="J3" s="1"/>
      <c r="K3" s="1"/>
    </row>
    <row r="4" spans="1:11" ht="21" customHeight="1">
      <c r="A4" s="70" t="s">
        <v>11</v>
      </c>
      <c r="B4" s="20">
        <v>20</v>
      </c>
      <c r="C4" s="20">
        <v>1</v>
      </c>
      <c r="D4" s="45" t="s">
        <v>14</v>
      </c>
      <c r="E4" s="57" t="s">
        <v>15</v>
      </c>
      <c r="F4" s="21">
        <v>8</v>
      </c>
      <c r="G4" s="23">
        <v>1</v>
      </c>
      <c r="H4" s="20">
        <v>3600</v>
      </c>
      <c r="I4" s="20">
        <v>3660</v>
      </c>
      <c r="J4" s="1"/>
      <c r="K4" s="1"/>
    </row>
    <row r="5" spans="1:11" ht="21" customHeight="1">
      <c r="A5" s="70" t="s">
        <v>11</v>
      </c>
      <c r="B5" s="20">
        <v>20</v>
      </c>
      <c r="C5" s="20">
        <v>2</v>
      </c>
      <c r="D5" s="45" t="s">
        <v>16</v>
      </c>
      <c r="E5" s="57" t="s">
        <v>15</v>
      </c>
      <c r="F5" s="21">
        <v>9</v>
      </c>
      <c r="G5" s="23">
        <v>1</v>
      </c>
      <c r="H5" s="20">
        <v>3165</v>
      </c>
      <c r="I5" s="20">
        <v>3225</v>
      </c>
      <c r="J5" s="1"/>
      <c r="K5" s="1"/>
    </row>
    <row r="6" spans="1:11" ht="21" customHeight="1">
      <c r="A6" s="70" t="s">
        <v>11</v>
      </c>
      <c r="B6" s="20">
        <v>20</v>
      </c>
      <c r="C6" s="20">
        <v>3</v>
      </c>
      <c r="D6" s="45" t="s">
        <v>13</v>
      </c>
      <c r="E6" s="57" t="s">
        <v>13</v>
      </c>
      <c r="F6" s="21">
        <v>9</v>
      </c>
      <c r="G6" s="23">
        <v>1</v>
      </c>
      <c r="H6" s="20">
        <v>5267</v>
      </c>
      <c r="I6" s="20">
        <v>5327</v>
      </c>
    </row>
    <row r="7" spans="1:11" ht="21" customHeight="1">
      <c r="A7" s="70" t="s">
        <v>11</v>
      </c>
      <c r="B7" s="20">
        <v>20</v>
      </c>
      <c r="C7" s="20">
        <v>4</v>
      </c>
      <c r="D7" s="45" t="s">
        <v>13</v>
      </c>
      <c r="E7" s="57" t="s">
        <v>13</v>
      </c>
      <c r="F7" s="21">
        <v>9</v>
      </c>
      <c r="G7" s="23">
        <v>1</v>
      </c>
      <c r="H7" s="20">
        <v>2100</v>
      </c>
      <c r="I7" s="20">
        <v>2160</v>
      </c>
    </row>
    <row r="8" spans="1:11" ht="21" customHeight="1">
      <c r="A8" s="70" t="s">
        <v>11</v>
      </c>
      <c r="B8" s="20">
        <v>25</v>
      </c>
      <c r="C8" s="20">
        <v>1</v>
      </c>
      <c r="D8" s="45" t="s">
        <v>13</v>
      </c>
      <c r="E8" s="57" t="s">
        <v>13</v>
      </c>
      <c r="F8" s="21">
        <v>9</v>
      </c>
      <c r="G8" s="23">
        <v>0</v>
      </c>
      <c r="H8" s="20">
        <v>3154</v>
      </c>
      <c r="I8" s="20">
        <v>3202</v>
      </c>
    </row>
    <row r="9" spans="1:11" ht="21" customHeight="1">
      <c r="A9" s="70" t="s">
        <v>11</v>
      </c>
      <c r="B9" s="20">
        <v>30</v>
      </c>
      <c r="C9" s="20">
        <v>1</v>
      </c>
      <c r="D9" s="45" t="s">
        <v>13</v>
      </c>
      <c r="E9" s="57" t="s">
        <v>13</v>
      </c>
      <c r="F9" s="21">
        <v>9</v>
      </c>
      <c r="G9" s="23">
        <v>0</v>
      </c>
      <c r="H9" s="20">
        <v>2311</v>
      </c>
      <c r="I9" s="20">
        <v>2354</v>
      </c>
    </row>
    <row r="10" spans="1:11" ht="21" customHeight="1">
      <c r="A10" s="70" t="s">
        <v>11</v>
      </c>
      <c r="B10" s="20">
        <v>35</v>
      </c>
      <c r="C10" s="20">
        <v>1</v>
      </c>
      <c r="D10" s="45" t="s">
        <v>14</v>
      </c>
      <c r="E10" s="57" t="s">
        <v>15</v>
      </c>
      <c r="F10" s="21">
        <v>10</v>
      </c>
      <c r="G10" s="23">
        <v>0</v>
      </c>
      <c r="H10" s="20">
        <v>2580</v>
      </c>
      <c r="I10" s="20">
        <v>2619</v>
      </c>
    </row>
    <row r="11" spans="1:11" ht="21" customHeight="1">
      <c r="A11" s="70" t="s">
        <v>17</v>
      </c>
      <c r="B11" s="20">
        <v>5</v>
      </c>
      <c r="C11" s="20">
        <v>1</v>
      </c>
      <c r="D11" s="45" t="s">
        <v>13</v>
      </c>
      <c r="E11" s="57" t="s">
        <v>13</v>
      </c>
      <c r="F11" s="21">
        <v>5</v>
      </c>
      <c r="G11" s="23">
        <v>0</v>
      </c>
      <c r="H11" s="20">
        <v>3590</v>
      </c>
      <c r="I11" s="20">
        <v>3798</v>
      </c>
      <c r="J11" s="1"/>
      <c r="K11" s="1"/>
    </row>
    <row r="12" spans="1:11" ht="21" customHeight="1">
      <c r="A12" s="70" t="s">
        <v>17</v>
      </c>
      <c r="B12" s="20">
        <v>10</v>
      </c>
      <c r="C12" s="20">
        <v>1</v>
      </c>
      <c r="D12" s="45" t="s">
        <v>13</v>
      </c>
      <c r="E12" s="57" t="s">
        <v>13</v>
      </c>
      <c r="F12" s="21">
        <v>6</v>
      </c>
      <c r="G12" s="23">
        <v>0</v>
      </c>
      <c r="H12" s="20">
        <v>3292</v>
      </c>
      <c r="I12" s="20">
        <v>3399</v>
      </c>
      <c r="J12" s="1"/>
      <c r="K12" s="1"/>
    </row>
    <row r="13" spans="1:11" ht="21" customHeight="1">
      <c r="A13" s="70" t="s">
        <v>17</v>
      </c>
      <c r="B13" s="20">
        <v>15</v>
      </c>
      <c r="C13" s="20">
        <v>1</v>
      </c>
      <c r="D13" s="45" t="s">
        <v>12</v>
      </c>
      <c r="E13" s="57" t="s">
        <v>13</v>
      </c>
      <c r="F13" s="21">
        <v>8</v>
      </c>
      <c r="G13" s="23">
        <v>0</v>
      </c>
      <c r="H13" s="20">
        <v>3043</v>
      </c>
      <c r="I13" s="20">
        <v>3120</v>
      </c>
      <c r="J13" s="1"/>
      <c r="K13" s="1"/>
    </row>
    <row r="14" spans="1:11" ht="21" customHeight="1">
      <c r="A14" s="70" t="s">
        <v>17</v>
      </c>
      <c r="B14" s="24">
        <v>17.5</v>
      </c>
      <c r="C14" s="20">
        <v>1</v>
      </c>
      <c r="D14" s="45" t="s">
        <v>12</v>
      </c>
      <c r="E14" s="57" t="s">
        <v>13</v>
      </c>
      <c r="F14" s="21">
        <v>6</v>
      </c>
      <c r="G14" s="23">
        <v>0</v>
      </c>
      <c r="H14" s="20">
        <v>3774</v>
      </c>
      <c r="I14" s="20">
        <v>3842</v>
      </c>
      <c r="J14" s="1"/>
      <c r="K14" s="1"/>
    </row>
    <row r="15" spans="1:11" ht="21" customHeight="1">
      <c r="A15" s="70" t="s">
        <v>17</v>
      </c>
      <c r="B15" s="20">
        <v>20</v>
      </c>
      <c r="C15" s="20">
        <v>1</v>
      </c>
      <c r="D15" s="45" t="s">
        <v>12</v>
      </c>
      <c r="E15" s="57" t="s">
        <v>13</v>
      </c>
      <c r="F15" s="21">
        <v>8</v>
      </c>
      <c r="G15" s="23">
        <v>0</v>
      </c>
      <c r="H15" s="20">
        <v>3461</v>
      </c>
      <c r="I15" s="20">
        <v>3523</v>
      </c>
      <c r="J15" s="1"/>
      <c r="K15" s="1"/>
    </row>
    <row r="16" spans="1:11" ht="21" customHeight="1">
      <c r="A16" s="70" t="s">
        <v>17</v>
      </c>
      <c r="B16" s="20">
        <v>20</v>
      </c>
      <c r="C16" s="20">
        <v>2</v>
      </c>
      <c r="D16" s="45" t="s">
        <v>12</v>
      </c>
      <c r="E16" s="57" t="s">
        <v>13</v>
      </c>
      <c r="F16" s="21">
        <v>8</v>
      </c>
      <c r="G16" s="23">
        <v>0</v>
      </c>
      <c r="H16" s="20">
        <v>3063</v>
      </c>
      <c r="I16" s="20">
        <v>3128</v>
      </c>
      <c r="J16" s="1"/>
      <c r="K16" s="1"/>
    </row>
    <row r="17" spans="1:11" ht="21" customHeight="1">
      <c r="A17" s="70" t="s">
        <v>17</v>
      </c>
      <c r="B17" s="24">
        <v>22.5</v>
      </c>
      <c r="C17" s="20">
        <v>1</v>
      </c>
      <c r="D17" s="45" t="s">
        <v>12</v>
      </c>
      <c r="E17" s="57" t="s">
        <v>13</v>
      </c>
      <c r="F17" s="21">
        <v>5</v>
      </c>
      <c r="G17" s="23">
        <v>0</v>
      </c>
      <c r="H17" s="20">
        <v>3678</v>
      </c>
      <c r="I17" s="20">
        <v>3733</v>
      </c>
    </row>
    <row r="18" spans="1:11" ht="21" customHeight="1">
      <c r="A18" s="70" t="s">
        <v>17</v>
      </c>
      <c r="B18" s="20">
        <v>25</v>
      </c>
      <c r="C18" s="20">
        <v>1</v>
      </c>
      <c r="D18" s="45" t="s">
        <v>12</v>
      </c>
      <c r="E18" s="57" t="s">
        <v>13</v>
      </c>
      <c r="F18" s="21">
        <v>5</v>
      </c>
      <c r="G18" s="23">
        <v>0</v>
      </c>
      <c r="H18" s="20">
        <v>2630</v>
      </c>
      <c r="I18" s="20">
        <v>2680</v>
      </c>
    </row>
    <row r="19" spans="1:11" ht="21" customHeight="1">
      <c r="A19" s="70" t="s">
        <v>17</v>
      </c>
      <c r="B19" s="20">
        <v>30</v>
      </c>
      <c r="C19" s="20">
        <v>1</v>
      </c>
      <c r="D19" s="45" t="s">
        <v>12</v>
      </c>
      <c r="E19" s="57" t="s">
        <v>13</v>
      </c>
      <c r="F19" s="21">
        <v>4</v>
      </c>
      <c r="G19" s="23">
        <v>0</v>
      </c>
      <c r="H19" s="20">
        <v>3878</v>
      </c>
      <c r="I19" s="20">
        <v>3922</v>
      </c>
    </row>
    <row r="20" spans="1:11" ht="21" customHeight="1">
      <c r="A20" s="70" t="s">
        <v>17</v>
      </c>
      <c r="B20" s="20">
        <v>35</v>
      </c>
      <c r="C20" s="20">
        <v>1</v>
      </c>
      <c r="D20" s="45" t="s">
        <v>12</v>
      </c>
      <c r="E20" s="57" t="s">
        <v>13</v>
      </c>
      <c r="F20" s="21">
        <v>4</v>
      </c>
      <c r="G20" s="23">
        <v>0</v>
      </c>
      <c r="H20" s="20">
        <v>3410</v>
      </c>
      <c r="I20" s="20">
        <v>3449</v>
      </c>
    </row>
    <row r="21" spans="1:11" ht="21" customHeight="1">
      <c r="A21" s="70" t="s">
        <v>17</v>
      </c>
      <c r="B21" s="20">
        <v>40</v>
      </c>
      <c r="C21" s="20">
        <v>1</v>
      </c>
      <c r="D21" s="45" t="s">
        <v>14</v>
      </c>
      <c r="E21" s="57" t="s">
        <v>15</v>
      </c>
      <c r="F21" s="21">
        <v>4</v>
      </c>
      <c r="G21" s="23">
        <v>0</v>
      </c>
      <c r="H21" s="20">
        <v>2122</v>
      </c>
      <c r="I21" s="20">
        <v>2158</v>
      </c>
      <c r="J21">
        <v>2166</v>
      </c>
    </row>
    <row r="22" spans="1:11" ht="21" customHeight="1">
      <c r="A22" s="70" t="s">
        <v>18</v>
      </c>
      <c r="B22" s="20">
        <v>5</v>
      </c>
      <c r="C22" s="20">
        <v>1</v>
      </c>
      <c r="D22" s="45" t="s">
        <v>13</v>
      </c>
      <c r="E22" s="57" t="s">
        <v>13</v>
      </c>
      <c r="F22" s="21">
        <v>7</v>
      </c>
      <c r="G22" s="23">
        <v>0</v>
      </c>
      <c r="H22" s="20">
        <v>1162</v>
      </c>
      <c r="I22" s="20">
        <v>1371</v>
      </c>
    </row>
    <row r="23" spans="1:11" ht="21" customHeight="1">
      <c r="A23" s="70" t="s">
        <v>18</v>
      </c>
      <c r="B23" s="20">
        <v>10</v>
      </c>
      <c r="C23" s="20">
        <v>1</v>
      </c>
      <c r="D23" s="45" t="s">
        <v>13</v>
      </c>
      <c r="E23" s="57" t="s">
        <v>13</v>
      </c>
      <c r="F23" s="21">
        <v>7</v>
      </c>
      <c r="G23" s="23">
        <v>0</v>
      </c>
      <c r="H23" s="20">
        <v>2430</v>
      </c>
      <c r="I23" s="20">
        <v>2540</v>
      </c>
    </row>
    <row r="24" spans="1:11" ht="21" customHeight="1">
      <c r="A24" s="70" t="s">
        <v>18</v>
      </c>
      <c r="B24" s="20">
        <v>15</v>
      </c>
      <c r="C24" s="20">
        <v>1</v>
      </c>
      <c r="D24" s="45" t="s">
        <v>12</v>
      </c>
      <c r="E24" s="57" t="s">
        <v>13</v>
      </c>
      <c r="F24" s="21">
        <v>8</v>
      </c>
      <c r="G24" s="23">
        <v>0</v>
      </c>
      <c r="H24" s="20">
        <v>2686</v>
      </c>
      <c r="I24" s="20">
        <v>2766</v>
      </c>
    </row>
    <row r="25" spans="1:11" ht="21" customHeight="1">
      <c r="A25" s="70" t="s">
        <v>18</v>
      </c>
      <c r="B25" s="20">
        <v>20</v>
      </c>
      <c r="C25" s="20">
        <v>1</v>
      </c>
      <c r="D25" s="45" t="s">
        <v>12</v>
      </c>
      <c r="E25" s="57" t="s">
        <v>13</v>
      </c>
      <c r="F25" s="21">
        <v>5</v>
      </c>
      <c r="G25" s="23">
        <v>1</v>
      </c>
      <c r="H25" s="20">
        <v>2803</v>
      </c>
      <c r="I25" s="20">
        <v>2863</v>
      </c>
    </row>
    <row r="26" spans="1:11" ht="21" customHeight="1">
      <c r="A26" s="70" t="s">
        <v>18</v>
      </c>
      <c r="B26" s="20">
        <v>20</v>
      </c>
      <c r="C26" s="20">
        <v>2</v>
      </c>
      <c r="D26" s="45" t="s">
        <v>12</v>
      </c>
      <c r="E26" s="57" t="s">
        <v>13</v>
      </c>
      <c r="F26" s="21">
        <v>7</v>
      </c>
      <c r="G26" s="23">
        <v>1</v>
      </c>
      <c r="H26" s="20">
        <v>3247</v>
      </c>
      <c r="I26" s="20">
        <v>3308</v>
      </c>
    </row>
    <row r="27" spans="1:11" ht="21" customHeight="1">
      <c r="A27" s="70" t="s">
        <v>18</v>
      </c>
      <c r="B27" s="20">
        <v>20</v>
      </c>
      <c r="C27" s="20">
        <v>3</v>
      </c>
      <c r="D27" s="45" t="s">
        <v>12</v>
      </c>
      <c r="E27" s="57" t="s">
        <v>13</v>
      </c>
      <c r="F27" s="21">
        <v>5</v>
      </c>
      <c r="G27" s="23">
        <v>1</v>
      </c>
      <c r="H27" s="20">
        <v>2249</v>
      </c>
      <c r="I27" s="20">
        <v>2309</v>
      </c>
    </row>
    <row r="28" spans="1:11" ht="21" customHeight="1">
      <c r="A28" s="70" t="s">
        <v>18</v>
      </c>
      <c r="B28" s="24">
        <v>17.5</v>
      </c>
      <c r="C28" s="20">
        <v>1</v>
      </c>
      <c r="D28" s="45" t="s">
        <v>13</v>
      </c>
      <c r="E28" s="57" t="s">
        <v>13</v>
      </c>
      <c r="F28" s="21">
        <v>7</v>
      </c>
      <c r="G28" s="23">
        <v>0</v>
      </c>
      <c r="H28" s="20">
        <v>2383</v>
      </c>
      <c r="I28" s="20">
        <v>2449</v>
      </c>
    </row>
    <row r="29" spans="1:11" ht="21" customHeight="1">
      <c r="A29" s="70" t="s">
        <v>18</v>
      </c>
      <c r="B29" s="24">
        <v>17.5</v>
      </c>
      <c r="C29" s="20">
        <v>2</v>
      </c>
      <c r="D29" s="45" t="s">
        <v>13</v>
      </c>
      <c r="E29" s="57" t="s">
        <v>13</v>
      </c>
      <c r="F29" s="21">
        <v>5</v>
      </c>
      <c r="G29" s="23">
        <v>0</v>
      </c>
      <c r="H29" s="20">
        <v>4117</v>
      </c>
      <c r="I29" s="20">
        <v>4188</v>
      </c>
      <c r="J29" s="1"/>
      <c r="K29" s="1"/>
    </row>
    <row r="30" spans="1:11" ht="21" customHeight="1">
      <c r="A30" s="70" t="s">
        <v>18</v>
      </c>
      <c r="B30" s="24">
        <v>18.5</v>
      </c>
      <c r="C30" s="20">
        <v>1</v>
      </c>
      <c r="D30" s="45" t="s">
        <v>12</v>
      </c>
      <c r="E30" s="57" t="s">
        <v>13</v>
      </c>
      <c r="F30" s="21">
        <v>4</v>
      </c>
      <c r="G30" s="23">
        <v>0</v>
      </c>
      <c r="H30" s="20">
        <v>2570</v>
      </c>
      <c r="I30" s="20">
        <v>2638</v>
      </c>
    </row>
    <row r="31" spans="1:11" ht="21" customHeight="1">
      <c r="A31" s="70" t="s">
        <v>18</v>
      </c>
      <c r="B31" s="20">
        <v>20</v>
      </c>
      <c r="C31" s="20">
        <v>4</v>
      </c>
      <c r="D31" s="45" t="s">
        <v>16</v>
      </c>
      <c r="E31" s="57" t="s">
        <v>15</v>
      </c>
      <c r="F31" s="21">
        <v>10</v>
      </c>
      <c r="G31" s="23">
        <v>1</v>
      </c>
      <c r="H31" s="20">
        <v>3027</v>
      </c>
      <c r="I31" s="20">
        <v>3087</v>
      </c>
      <c r="J31">
        <v>3055</v>
      </c>
    </row>
    <row r="32" spans="1:11" ht="21" customHeight="1">
      <c r="A32" s="70" t="s">
        <v>18</v>
      </c>
      <c r="B32" s="20">
        <v>20</v>
      </c>
      <c r="C32" s="20">
        <v>5</v>
      </c>
      <c r="D32" s="45" t="s">
        <v>12</v>
      </c>
      <c r="E32" s="57" t="s">
        <v>13</v>
      </c>
      <c r="F32" s="21">
        <v>10</v>
      </c>
      <c r="G32" s="23">
        <v>1</v>
      </c>
      <c r="H32" s="20">
        <v>2410</v>
      </c>
      <c r="I32" s="20">
        <v>2468</v>
      </c>
    </row>
    <row r="33" spans="1:11" ht="21" customHeight="1">
      <c r="A33" s="70" t="s">
        <v>18</v>
      </c>
      <c r="B33" s="20">
        <v>20</v>
      </c>
      <c r="C33" s="20">
        <v>6</v>
      </c>
      <c r="D33" s="45" t="s">
        <v>12</v>
      </c>
      <c r="E33" s="57" t="s">
        <v>13</v>
      </c>
      <c r="F33" s="21">
        <v>10</v>
      </c>
      <c r="G33" s="23">
        <v>1</v>
      </c>
      <c r="H33" s="20">
        <v>4101</v>
      </c>
      <c r="I33" s="20">
        <v>4165</v>
      </c>
    </row>
    <row r="34" spans="1:11" ht="21" customHeight="1">
      <c r="A34" s="70" t="s">
        <v>18</v>
      </c>
      <c r="B34" s="20">
        <v>20</v>
      </c>
      <c r="C34" s="20">
        <v>7</v>
      </c>
      <c r="D34" s="45" t="s">
        <v>12</v>
      </c>
      <c r="E34" s="57" t="s">
        <v>13</v>
      </c>
      <c r="F34" s="21">
        <v>10</v>
      </c>
      <c r="G34" s="23">
        <v>1</v>
      </c>
      <c r="H34" s="20">
        <v>2408</v>
      </c>
      <c r="I34" s="20">
        <v>2467</v>
      </c>
    </row>
    <row r="35" spans="1:11" ht="21" customHeight="1">
      <c r="A35" s="70" t="s">
        <v>19</v>
      </c>
      <c r="B35" s="20">
        <v>10</v>
      </c>
      <c r="C35" s="20">
        <v>1</v>
      </c>
      <c r="D35" s="45" t="s">
        <v>12</v>
      </c>
      <c r="E35" s="57" t="s">
        <v>13</v>
      </c>
      <c r="F35" s="21">
        <v>1</v>
      </c>
      <c r="G35" s="23">
        <v>0</v>
      </c>
      <c r="H35" s="20">
        <v>3095</v>
      </c>
      <c r="I35" s="20">
        <v>3204</v>
      </c>
      <c r="J35" s="1"/>
      <c r="K35" s="1"/>
    </row>
    <row r="36" spans="1:11" ht="21" customHeight="1">
      <c r="A36" s="70" t="s">
        <v>19</v>
      </c>
      <c r="B36" s="20">
        <v>20</v>
      </c>
      <c r="C36" s="20">
        <v>1</v>
      </c>
      <c r="D36" s="45" t="s">
        <v>12</v>
      </c>
      <c r="E36" s="57" t="s">
        <v>13</v>
      </c>
      <c r="F36" s="21">
        <v>4</v>
      </c>
      <c r="G36" s="23">
        <v>0</v>
      </c>
      <c r="H36" s="20">
        <v>2200</v>
      </c>
      <c r="I36" s="20">
        <v>2260</v>
      </c>
      <c r="J36" s="1"/>
      <c r="K36" s="1"/>
    </row>
    <row r="37" spans="1:11" ht="21" customHeight="1">
      <c r="A37" s="70" t="s">
        <v>19</v>
      </c>
      <c r="B37" s="20">
        <v>25</v>
      </c>
      <c r="C37" s="20">
        <v>1</v>
      </c>
      <c r="D37" s="45" t="s">
        <v>12</v>
      </c>
      <c r="E37" s="57" t="s">
        <v>13</v>
      </c>
      <c r="F37" s="21">
        <v>2</v>
      </c>
      <c r="G37" s="23">
        <v>0</v>
      </c>
      <c r="H37" s="20">
        <v>2079</v>
      </c>
      <c r="I37" s="20">
        <v>2129</v>
      </c>
      <c r="J37" s="1"/>
      <c r="K37" s="1"/>
    </row>
    <row r="38" spans="1:11" ht="21" customHeight="1">
      <c r="A38" s="70" t="s">
        <v>19</v>
      </c>
      <c r="B38" s="20">
        <v>35</v>
      </c>
      <c r="C38" s="20">
        <v>1</v>
      </c>
      <c r="D38" s="45" t="s">
        <v>12</v>
      </c>
      <c r="E38" s="57" t="s">
        <v>13</v>
      </c>
      <c r="F38" s="21">
        <v>1</v>
      </c>
      <c r="G38" s="23">
        <v>0</v>
      </c>
      <c r="H38" s="20">
        <v>1858</v>
      </c>
      <c r="I38" s="20">
        <v>1897</v>
      </c>
      <c r="J38" s="1"/>
      <c r="K38" s="1"/>
    </row>
    <row r="39" spans="1:11" ht="18.75" customHeight="1">
      <c r="A39" s="70" t="s">
        <v>19</v>
      </c>
      <c r="B39" s="20">
        <v>45</v>
      </c>
      <c r="C39" s="20">
        <v>1</v>
      </c>
      <c r="D39" s="45" t="s">
        <v>14</v>
      </c>
      <c r="E39" s="57" t="s">
        <v>15</v>
      </c>
      <c r="F39" s="21">
        <v>8</v>
      </c>
      <c r="G39" s="23">
        <v>1</v>
      </c>
      <c r="H39" s="20">
        <v>2509</v>
      </c>
      <c r="I39" s="20">
        <v>2541</v>
      </c>
      <c r="J39" s="1">
        <v>2543</v>
      </c>
      <c r="K39" s="1"/>
    </row>
    <row r="40" spans="1:11" ht="18.75" customHeight="1">
      <c r="A40" s="70" t="s">
        <v>19</v>
      </c>
      <c r="B40" s="20">
        <v>45</v>
      </c>
      <c r="C40" s="20">
        <v>2</v>
      </c>
      <c r="D40" s="45" t="s">
        <v>16</v>
      </c>
      <c r="E40" s="57" t="s">
        <v>15</v>
      </c>
      <c r="F40" s="21">
        <v>8</v>
      </c>
      <c r="G40" s="23">
        <v>1</v>
      </c>
      <c r="H40" s="20">
        <v>2847</v>
      </c>
      <c r="I40" s="20">
        <v>2881</v>
      </c>
      <c r="J40" s="1">
        <v>2945</v>
      </c>
      <c r="K40" s="1"/>
    </row>
    <row r="41" spans="1:11" ht="18.75" customHeight="1">
      <c r="A41" s="70" t="s">
        <v>19</v>
      </c>
      <c r="B41" s="20">
        <v>45</v>
      </c>
      <c r="C41" s="20">
        <v>3</v>
      </c>
      <c r="D41" s="45" t="s">
        <v>12</v>
      </c>
      <c r="E41" s="57" t="s">
        <v>13</v>
      </c>
      <c r="F41" s="21">
        <v>1</v>
      </c>
      <c r="G41" s="23">
        <v>1</v>
      </c>
      <c r="H41" s="20">
        <v>3461</v>
      </c>
      <c r="I41" s="20">
        <v>3497</v>
      </c>
      <c r="J41" s="1"/>
      <c r="K41" s="1"/>
    </row>
    <row r="42" spans="1:11" ht="18.75" customHeight="1">
      <c r="A42" s="70" t="s">
        <v>19</v>
      </c>
      <c r="B42" s="20">
        <v>45</v>
      </c>
      <c r="C42" s="20">
        <v>4</v>
      </c>
      <c r="D42" s="45" t="s">
        <v>12</v>
      </c>
      <c r="E42" s="57" t="s">
        <v>13</v>
      </c>
      <c r="F42" s="21">
        <v>1</v>
      </c>
      <c r="G42" s="23">
        <v>1</v>
      </c>
      <c r="H42" s="20">
        <v>3614</v>
      </c>
      <c r="I42" s="20">
        <v>3653</v>
      </c>
      <c r="J42" s="1"/>
      <c r="K42" s="1"/>
    </row>
    <row r="43" spans="1:11" ht="18.75" customHeight="1">
      <c r="A43" s="70" t="s">
        <v>19</v>
      </c>
      <c r="B43" s="20">
        <v>45</v>
      </c>
      <c r="C43" s="20">
        <v>5</v>
      </c>
      <c r="D43" s="45" t="s">
        <v>14</v>
      </c>
      <c r="E43" s="57" t="s">
        <v>15</v>
      </c>
      <c r="F43" s="21">
        <v>6</v>
      </c>
      <c r="G43" s="23">
        <v>1</v>
      </c>
      <c r="H43" s="20">
        <v>2509</v>
      </c>
      <c r="I43" s="20">
        <v>2543</v>
      </c>
      <c r="J43" s="1">
        <v>2622</v>
      </c>
      <c r="K43" s="1"/>
    </row>
    <row r="44" spans="1:11" ht="18.75" customHeight="1">
      <c r="A44" s="70" t="s">
        <v>20</v>
      </c>
      <c r="B44" s="20">
        <v>5</v>
      </c>
      <c r="C44" s="20">
        <v>1</v>
      </c>
      <c r="D44" s="45" t="s">
        <v>13</v>
      </c>
      <c r="E44" s="57" t="s">
        <v>13</v>
      </c>
      <c r="F44" s="21">
        <v>3</v>
      </c>
      <c r="G44" s="23">
        <v>0</v>
      </c>
      <c r="H44" s="20">
        <v>3030</v>
      </c>
      <c r="I44" s="20">
        <v>3238</v>
      </c>
      <c r="J44" s="1"/>
      <c r="K44" s="1"/>
    </row>
    <row r="45" spans="1:11" ht="18.75" customHeight="1">
      <c r="A45" s="70" t="s">
        <v>20</v>
      </c>
      <c r="B45" s="20">
        <v>10</v>
      </c>
      <c r="C45" s="20">
        <v>1</v>
      </c>
      <c r="D45" s="45" t="s">
        <v>13</v>
      </c>
      <c r="E45" s="57" t="s">
        <v>13</v>
      </c>
      <c r="F45" s="21">
        <v>3</v>
      </c>
      <c r="G45" s="23">
        <v>0</v>
      </c>
      <c r="H45" s="20">
        <v>3235</v>
      </c>
      <c r="I45" s="20">
        <v>3345</v>
      </c>
      <c r="J45" s="1"/>
      <c r="K45" s="1"/>
    </row>
    <row r="46" spans="1:11" ht="18.75" customHeight="1">
      <c r="A46" s="70" t="s">
        <v>20</v>
      </c>
      <c r="B46" s="20">
        <v>15</v>
      </c>
      <c r="C46" s="20">
        <v>1</v>
      </c>
      <c r="D46" s="45" t="s">
        <v>12</v>
      </c>
      <c r="E46" s="57" t="s">
        <v>13</v>
      </c>
      <c r="F46" s="21">
        <v>4</v>
      </c>
      <c r="G46" s="23">
        <v>0</v>
      </c>
      <c r="H46" s="20">
        <v>3521</v>
      </c>
      <c r="I46" s="20">
        <v>3602</v>
      </c>
      <c r="J46" s="1"/>
      <c r="K46" s="1"/>
    </row>
    <row r="47" spans="1:11" ht="18.75" customHeight="1">
      <c r="A47" s="70" t="s">
        <v>20</v>
      </c>
      <c r="B47" s="20">
        <v>25</v>
      </c>
      <c r="C47" s="20">
        <v>1</v>
      </c>
      <c r="D47" s="45" t="s">
        <v>12</v>
      </c>
      <c r="E47" s="57" t="s">
        <v>13</v>
      </c>
      <c r="F47" s="21">
        <v>4</v>
      </c>
      <c r="G47" s="23">
        <v>0</v>
      </c>
      <c r="H47" s="20">
        <v>2096</v>
      </c>
      <c r="I47" s="20">
        <v>2146</v>
      </c>
      <c r="J47" s="1"/>
      <c r="K47" s="1"/>
    </row>
    <row r="48" spans="1:11" ht="18.75" customHeight="1">
      <c r="A48" s="70" t="s">
        <v>20</v>
      </c>
      <c r="B48" s="20">
        <v>30</v>
      </c>
      <c r="C48" s="20">
        <v>1</v>
      </c>
      <c r="D48" s="45" t="s">
        <v>12</v>
      </c>
      <c r="E48" s="57" t="s">
        <v>13</v>
      </c>
      <c r="F48" s="21">
        <v>5</v>
      </c>
      <c r="G48" s="23">
        <v>0</v>
      </c>
      <c r="H48" s="20">
        <v>2247</v>
      </c>
      <c r="I48" s="20">
        <v>2296</v>
      </c>
      <c r="J48" s="1"/>
      <c r="K48" s="1"/>
    </row>
    <row r="49" spans="1:11" ht="18.75" customHeight="1">
      <c r="A49" s="70" t="s">
        <v>20</v>
      </c>
      <c r="B49" s="20">
        <v>35</v>
      </c>
      <c r="C49" s="20">
        <v>1</v>
      </c>
      <c r="D49" s="45" t="s">
        <v>14</v>
      </c>
      <c r="E49" s="57" t="s">
        <v>15</v>
      </c>
      <c r="F49" s="21">
        <v>5</v>
      </c>
      <c r="G49" s="23">
        <v>0</v>
      </c>
      <c r="H49" s="20">
        <v>2618</v>
      </c>
      <c r="I49" s="20">
        <v>2657</v>
      </c>
      <c r="J49" s="1">
        <v>2653</v>
      </c>
      <c r="K49" s="1"/>
    </row>
    <row r="50" spans="1:11" ht="18.75" customHeight="1">
      <c r="A50" s="70" t="s">
        <v>20</v>
      </c>
      <c r="B50" s="20">
        <v>35</v>
      </c>
      <c r="C50" s="20">
        <v>2</v>
      </c>
      <c r="D50" s="45" t="s">
        <v>12</v>
      </c>
      <c r="E50" s="57" t="s">
        <v>13</v>
      </c>
      <c r="F50" s="21">
        <v>5</v>
      </c>
      <c r="G50" s="23">
        <v>0</v>
      </c>
      <c r="H50" s="20">
        <v>1946</v>
      </c>
      <c r="I50" s="20">
        <v>1986</v>
      </c>
      <c r="J50" s="1"/>
      <c r="K50" s="1"/>
    </row>
    <row r="51" spans="1:11" ht="18.75" customHeight="1">
      <c r="A51" s="70" t="s">
        <v>20</v>
      </c>
      <c r="B51" s="20">
        <v>35</v>
      </c>
      <c r="C51" s="20">
        <v>3</v>
      </c>
      <c r="D51" s="45" t="s">
        <v>12</v>
      </c>
      <c r="E51" s="57" t="s">
        <v>13</v>
      </c>
      <c r="F51" s="21">
        <v>5</v>
      </c>
      <c r="G51" s="23">
        <v>0</v>
      </c>
      <c r="H51" s="20">
        <v>2765</v>
      </c>
      <c r="I51" s="20">
        <v>2804</v>
      </c>
      <c r="J51" s="1"/>
      <c r="K51" s="1"/>
    </row>
    <row r="52" spans="1:11" ht="18.75" customHeight="1">
      <c r="A52" s="70" t="s">
        <v>20</v>
      </c>
      <c r="B52" s="20">
        <v>35</v>
      </c>
      <c r="C52" s="20">
        <v>4</v>
      </c>
      <c r="D52" s="45" t="s">
        <v>12</v>
      </c>
      <c r="E52" s="57" t="s">
        <v>13</v>
      </c>
      <c r="F52" s="21">
        <v>5</v>
      </c>
      <c r="G52" s="23">
        <v>0</v>
      </c>
      <c r="H52" s="20">
        <v>2314</v>
      </c>
      <c r="I52" s="20">
        <v>2352</v>
      </c>
      <c r="J52" s="1"/>
      <c r="K52" s="1"/>
    </row>
    <row r="53" spans="1:11" ht="18.75" customHeight="1">
      <c r="A53" s="70" t="s">
        <v>20</v>
      </c>
      <c r="B53" s="20">
        <v>40</v>
      </c>
      <c r="C53" s="20">
        <v>1</v>
      </c>
      <c r="D53" s="45" t="s">
        <v>12</v>
      </c>
      <c r="E53" s="57" t="s">
        <v>13</v>
      </c>
      <c r="F53" s="21">
        <v>5</v>
      </c>
      <c r="G53" s="23">
        <v>0</v>
      </c>
      <c r="H53" s="20">
        <v>2705</v>
      </c>
      <c r="I53" s="20">
        <v>2739</v>
      </c>
      <c r="J53" s="1"/>
      <c r="K53" s="1"/>
    </row>
    <row r="54" spans="1:11" ht="18.75" customHeight="1">
      <c r="A54" s="70" t="s">
        <v>20</v>
      </c>
      <c r="B54" s="20">
        <v>45</v>
      </c>
      <c r="C54" s="20">
        <v>1</v>
      </c>
      <c r="D54" s="45" t="s">
        <v>12</v>
      </c>
      <c r="E54" s="57" t="s">
        <v>13</v>
      </c>
      <c r="F54" s="21">
        <v>5</v>
      </c>
      <c r="G54" s="23">
        <v>0</v>
      </c>
      <c r="H54" s="20">
        <v>5388</v>
      </c>
      <c r="I54" s="20">
        <v>5421</v>
      </c>
      <c r="J54" s="1"/>
      <c r="K54" s="1"/>
    </row>
    <row r="55" spans="1:11" ht="18.75" customHeight="1">
      <c r="A55" s="70" t="s">
        <v>20</v>
      </c>
      <c r="B55" s="20">
        <v>50</v>
      </c>
      <c r="C55" s="20">
        <v>1</v>
      </c>
      <c r="D55" s="45" t="s">
        <v>14</v>
      </c>
      <c r="E55" s="57" t="s">
        <v>15</v>
      </c>
      <c r="F55" s="21">
        <v>5</v>
      </c>
      <c r="G55" s="23">
        <v>0</v>
      </c>
      <c r="H55" s="20">
        <v>2295</v>
      </c>
      <c r="I55" s="20">
        <v>2325</v>
      </c>
      <c r="J55" s="1">
        <v>2401</v>
      </c>
      <c r="K55" s="1"/>
    </row>
    <row r="56" spans="1:11" ht="18.75" customHeight="1">
      <c r="A56" s="70" t="s">
        <v>21</v>
      </c>
      <c r="B56" s="20">
        <v>5</v>
      </c>
      <c r="C56" s="20">
        <v>1</v>
      </c>
      <c r="D56" s="45" t="s">
        <v>13</v>
      </c>
      <c r="E56" s="57" t="s">
        <v>13</v>
      </c>
      <c r="F56" s="21">
        <v>5</v>
      </c>
      <c r="G56" s="23">
        <v>0</v>
      </c>
      <c r="H56" s="20">
        <v>4034</v>
      </c>
      <c r="I56" s="20">
        <v>4242</v>
      </c>
      <c r="J56" s="1"/>
      <c r="K56" s="1"/>
    </row>
    <row r="57" spans="1:11" ht="18.75" customHeight="1">
      <c r="A57" s="70" t="s">
        <v>21</v>
      </c>
      <c r="B57" s="20">
        <v>10</v>
      </c>
      <c r="C57" s="20">
        <v>1</v>
      </c>
      <c r="D57" s="45" t="s">
        <v>12</v>
      </c>
      <c r="E57" s="57" t="s">
        <v>13</v>
      </c>
      <c r="F57" s="21">
        <v>5</v>
      </c>
      <c r="G57" s="23">
        <v>0</v>
      </c>
      <c r="H57" s="20">
        <v>5570</v>
      </c>
      <c r="I57" s="20">
        <v>5702</v>
      </c>
      <c r="J57" s="1"/>
      <c r="K57" s="1"/>
    </row>
    <row r="58" spans="1:11" ht="18.75" customHeight="1">
      <c r="A58" s="70" t="s">
        <v>21</v>
      </c>
      <c r="B58" s="20">
        <v>15</v>
      </c>
      <c r="C58" s="20">
        <v>1</v>
      </c>
      <c r="D58" s="45" t="s">
        <v>12</v>
      </c>
      <c r="E58" s="57" t="s">
        <v>13</v>
      </c>
      <c r="F58" s="21">
        <v>6</v>
      </c>
      <c r="G58" s="23">
        <v>0</v>
      </c>
      <c r="H58" s="20">
        <v>2049</v>
      </c>
      <c r="I58" s="20">
        <v>2134</v>
      </c>
      <c r="J58" s="1"/>
      <c r="K58" s="1"/>
    </row>
    <row r="59" spans="1:11" ht="18.75" customHeight="1">
      <c r="A59" s="70" t="s">
        <v>21</v>
      </c>
      <c r="B59" s="20">
        <v>20</v>
      </c>
      <c r="C59" s="20">
        <v>1</v>
      </c>
      <c r="D59" s="45" t="s">
        <v>12</v>
      </c>
      <c r="E59" s="57" t="s">
        <v>13</v>
      </c>
      <c r="F59" s="21">
        <v>7</v>
      </c>
      <c r="G59" s="23">
        <v>0</v>
      </c>
      <c r="H59" s="20">
        <v>2828</v>
      </c>
      <c r="I59" s="20">
        <v>2888</v>
      </c>
      <c r="J59" s="1"/>
      <c r="K59" s="1"/>
    </row>
    <row r="60" spans="1:11" ht="18.75" customHeight="1">
      <c r="A60" s="70" t="s">
        <v>21</v>
      </c>
      <c r="B60" s="20">
        <v>25</v>
      </c>
      <c r="C60" s="20">
        <v>1</v>
      </c>
      <c r="D60" s="45" t="s">
        <v>12</v>
      </c>
      <c r="E60" s="57" t="s">
        <v>13</v>
      </c>
      <c r="F60" s="21">
        <v>7</v>
      </c>
      <c r="G60" s="23">
        <v>0</v>
      </c>
      <c r="H60" s="20">
        <v>2489</v>
      </c>
      <c r="I60" s="20">
        <v>2548</v>
      </c>
      <c r="J60" s="1"/>
      <c r="K60" s="1"/>
    </row>
    <row r="61" spans="1:11" ht="18.75" customHeight="1">
      <c r="A61" s="70" t="s">
        <v>21</v>
      </c>
      <c r="B61" s="20">
        <v>30</v>
      </c>
      <c r="C61" s="20">
        <v>1</v>
      </c>
      <c r="D61" s="45" t="s">
        <v>12</v>
      </c>
      <c r="E61" s="57" t="s">
        <v>13</v>
      </c>
      <c r="F61" s="21">
        <v>7</v>
      </c>
      <c r="G61" s="23">
        <v>0</v>
      </c>
      <c r="H61" s="20">
        <v>6730</v>
      </c>
      <c r="I61" s="20">
        <v>6774</v>
      </c>
      <c r="J61" s="1"/>
      <c r="K61" s="1"/>
    </row>
    <row r="62" spans="1:11" ht="18.75" customHeight="1">
      <c r="A62" s="70" t="s">
        <v>21</v>
      </c>
      <c r="B62" s="20">
        <v>35</v>
      </c>
      <c r="C62" s="20">
        <v>1</v>
      </c>
      <c r="D62" s="45" t="s">
        <v>12</v>
      </c>
      <c r="E62" s="57" t="s">
        <v>13</v>
      </c>
      <c r="F62" s="21">
        <v>7</v>
      </c>
      <c r="G62" s="23">
        <v>0</v>
      </c>
      <c r="H62" s="20">
        <v>3138</v>
      </c>
      <c r="I62" s="20">
        <v>3177</v>
      </c>
      <c r="J62" s="1"/>
      <c r="K62" s="1"/>
    </row>
    <row r="63" spans="1:11" ht="18.75" customHeight="1">
      <c r="A63" s="70" t="s">
        <v>21</v>
      </c>
      <c r="B63" s="20">
        <v>40</v>
      </c>
      <c r="C63" s="20">
        <v>1</v>
      </c>
      <c r="D63" s="45" t="s">
        <v>12</v>
      </c>
      <c r="E63" s="57" t="s">
        <v>13</v>
      </c>
      <c r="F63" s="21">
        <v>7</v>
      </c>
      <c r="G63" s="23">
        <v>0</v>
      </c>
      <c r="H63" s="20">
        <v>2420</v>
      </c>
      <c r="I63" s="20">
        <v>2456</v>
      </c>
      <c r="J63" s="1"/>
      <c r="K63" s="1"/>
    </row>
    <row r="64" spans="1:11" ht="18.75" customHeight="1">
      <c r="A64" s="70" t="s">
        <v>21</v>
      </c>
      <c r="B64" s="20">
        <v>45</v>
      </c>
      <c r="C64" s="20">
        <v>1</v>
      </c>
      <c r="D64" s="45" t="s">
        <v>12</v>
      </c>
      <c r="E64" s="57" t="s">
        <v>13</v>
      </c>
      <c r="F64" s="21">
        <v>8</v>
      </c>
      <c r="G64" s="23">
        <v>0</v>
      </c>
      <c r="H64" s="20">
        <v>2632</v>
      </c>
      <c r="I64" s="20">
        <v>2668</v>
      </c>
      <c r="J64" s="1"/>
      <c r="K64" s="1"/>
    </row>
    <row r="65" spans="1:11" ht="18.75" customHeight="1">
      <c r="A65" s="70" t="s">
        <v>21</v>
      </c>
      <c r="B65" s="20">
        <v>50</v>
      </c>
      <c r="C65" s="20">
        <v>1</v>
      </c>
      <c r="D65" s="45" t="s">
        <v>12</v>
      </c>
      <c r="E65" s="57" t="s">
        <v>13</v>
      </c>
      <c r="F65" s="21">
        <v>8</v>
      </c>
      <c r="G65" s="23">
        <v>0</v>
      </c>
      <c r="H65" s="20">
        <v>1880</v>
      </c>
      <c r="I65" s="20">
        <v>1915</v>
      </c>
      <c r="J65" s="1"/>
      <c r="K65" s="1"/>
    </row>
    <row r="66" spans="1:11" ht="18.75" customHeight="1">
      <c r="A66" s="70" t="s">
        <v>21</v>
      </c>
      <c r="B66" s="20">
        <v>50</v>
      </c>
      <c r="C66" s="20">
        <v>2</v>
      </c>
      <c r="D66" s="45" t="s">
        <v>12</v>
      </c>
      <c r="E66" s="57" t="s">
        <v>13</v>
      </c>
      <c r="F66" s="21">
        <v>8</v>
      </c>
      <c r="G66" s="23">
        <v>0</v>
      </c>
      <c r="H66" s="20">
        <v>5077</v>
      </c>
      <c r="I66" s="20">
        <v>5107</v>
      </c>
      <c r="J66" s="1"/>
      <c r="K66" s="1"/>
    </row>
    <row r="67" spans="1:11" ht="18.75" customHeight="1">
      <c r="A67" s="70" t="s">
        <v>21</v>
      </c>
      <c r="B67" s="20">
        <v>50</v>
      </c>
      <c r="C67" s="20">
        <v>3</v>
      </c>
      <c r="D67" s="45" t="s">
        <v>16</v>
      </c>
      <c r="E67" s="57" t="s">
        <v>15</v>
      </c>
      <c r="F67" s="21">
        <v>8</v>
      </c>
      <c r="G67" s="23">
        <v>0</v>
      </c>
      <c r="H67" s="20">
        <v>4092</v>
      </c>
      <c r="I67" s="20">
        <v>4122</v>
      </c>
      <c r="J67" s="1">
        <v>4125</v>
      </c>
      <c r="K67" s="1"/>
    </row>
    <row r="68" spans="1:11" ht="18.75" customHeight="1">
      <c r="A68" s="70" t="s">
        <v>22</v>
      </c>
      <c r="B68" s="25">
        <v>5</v>
      </c>
      <c r="C68" s="25">
        <v>1</v>
      </c>
      <c r="D68" s="45" t="s">
        <v>13</v>
      </c>
      <c r="E68" s="57" t="s">
        <v>13</v>
      </c>
      <c r="F68" s="26">
        <v>4</v>
      </c>
      <c r="G68" s="23">
        <v>0</v>
      </c>
      <c r="H68" s="25">
        <v>3639</v>
      </c>
      <c r="I68" s="25">
        <v>3847</v>
      </c>
      <c r="J68" s="1"/>
      <c r="K68" s="1"/>
    </row>
    <row r="69" spans="1:11" ht="18.75" customHeight="1">
      <c r="A69" s="70" t="s">
        <v>22</v>
      </c>
      <c r="B69" s="25">
        <v>15</v>
      </c>
      <c r="C69" s="25">
        <v>1</v>
      </c>
      <c r="D69" s="45" t="s">
        <v>12</v>
      </c>
      <c r="E69" s="57" t="s">
        <v>13</v>
      </c>
      <c r="F69" s="26">
        <v>6</v>
      </c>
      <c r="G69" s="23">
        <v>1</v>
      </c>
      <c r="H69" s="25">
        <v>3186</v>
      </c>
      <c r="I69" s="25">
        <v>3263</v>
      </c>
      <c r="J69" s="1"/>
      <c r="K69" s="1"/>
    </row>
    <row r="70" spans="1:11" ht="18.75" customHeight="1">
      <c r="A70" s="70" t="s">
        <v>22</v>
      </c>
      <c r="B70" s="25">
        <v>25</v>
      </c>
      <c r="C70" s="25">
        <v>1</v>
      </c>
      <c r="D70" s="45" t="s">
        <v>16</v>
      </c>
      <c r="E70" s="57" t="s">
        <v>15</v>
      </c>
      <c r="F70" s="26">
        <v>8</v>
      </c>
      <c r="G70" s="23">
        <v>0</v>
      </c>
      <c r="H70" s="25">
        <v>3322</v>
      </c>
      <c r="I70" s="25">
        <v>3373</v>
      </c>
      <c r="J70" s="1">
        <v>3356</v>
      </c>
      <c r="K70" s="1"/>
    </row>
    <row r="71" spans="1:11" ht="18.75" customHeight="1">
      <c r="A71" s="70" t="s">
        <v>22</v>
      </c>
      <c r="B71" s="27">
        <v>22.5</v>
      </c>
      <c r="C71" s="25">
        <v>1</v>
      </c>
      <c r="D71" s="45" t="s">
        <v>16</v>
      </c>
      <c r="E71" s="57" t="s">
        <v>15</v>
      </c>
      <c r="F71" s="26">
        <v>8</v>
      </c>
      <c r="G71" s="23">
        <v>0</v>
      </c>
      <c r="H71" s="25">
        <v>2875</v>
      </c>
      <c r="I71" s="25">
        <v>2933</v>
      </c>
      <c r="J71" s="1">
        <v>2906</v>
      </c>
      <c r="K71" s="1"/>
    </row>
    <row r="72" spans="1:11" ht="18.75" customHeight="1">
      <c r="A72" s="70" t="s">
        <v>22</v>
      </c>
      <c r="B72" s="25">
        <v>20</v>
      </c>
      <c r="C72" s="25">
        <v>1</v>
      </c>
      <c r="D72" s="45" t="s">
        <v>16</v>
      </c>
      <c r="E72" s="57" t="s">
        <v>15</v>
      </c>
      <c r="F72" s="26">
        <v>8</v>
      </c>
      <c r="G72" s="23">
        <v>0</v>
      </c>
      <c r="H72" s="25">
        <v>3486</v>
      </c>
      <c r="I72" s="25">
        <v>3547</v>
      </c>
      <c r="J72" s="1">
        <v>3515</v>
      </c>
      <c r="K72" s="1"/>
    </row>
    <row r="73" spans="1:11" ht="18.75" customHeight="1">
      <c r="A73" s="70" t="s">
        <v>22</v>
      </c>
      <c r="B73" s="27">
        <v>17.5</v>
      </c>
      <c r="C73" s="25">
        <v>1</v>
      </c>
      <c r="D73" s="45" t="s">
        <v>16</v>
      </c>
      <c r="E73" s="57" t="s">
        <v>15</v>
      </c>
      <c r="F73" s="26">
        <v>6</v>
      </c>
      <c r="G73" s="23">
        <v>0</v>
      </c>
      <c r="H73" s="25">
        <v>2696</v>
      </c>
      <c r="I73" s="25">
        <v>2763</v>
      </c>
      <c r="J73" s="1">
        <v>2725</v>
      </c>
      <c r="K73" s="1"/>
    </row>
    <row r="74" spans="1:11" ht="18.75" customHeight="1">
      <c r="A74" s="70" t="s">
        <v>22</v>
      </c>
      <c r="B74" s="27">
        <v>17.5</v>
      </c>
      <c r="C74" s="25">
        <v>2</v>
      </c>
      <c r="D74" s="45" t="s">
        <v>16</v>
      </c>
      <c r="E74" s="57" t="s">
        <v>15</v>
      </c>
      <c r="F74" s="26">
        <v>5</v>
      </c>
      <c r="G74" s="23">
        <v>0</v>
      </c>
      <c r="H74" s="25">
        <v>4269</v>
      </c>
      <c r="I74" s="25">
        <v>4337</v>
      </c>
      <c r="J74" s="1">
        <v>4300</v>
      </c>
      <c r="K74" s="1"/>
    </row>
    <row r="75" spans="1:11" ht="18.75" customHeight="1">
      <c r="A75" s="70" t="s">
        <v>22</v>
      </c>
      <c r="B75" s="27">
        <v>17.5</v>
      </c>
      <c r="C75" s="25">
        <v>3</v>
      </c>
      <c r="D75" s="45" t="s">
        <v>16</v>
      </c>
      <c r="E75" s="57" t="s">
        <v>15</v>
      </c>
      <c r="F75" s="26">
        <v>4</v>
      </c>
      <c r="G75" s="23">
        <v>0</v>
      </c>
      <c r="H75" s="25">
        <v>2808</v>
      </c>
      <c r="I75" s="25">
        <v>2876</v>
      </c>
      <c r="J75" s="1">
        <v>2842</v>
      </c>
      <c r="K75" s="1"/>
    </row>
    <row r="76" spans="1:11" ht="18.75" customHeight="1">
      <c r="A76" s="70" t="s">
        <v>22</v>
      </c>
      <c r="B76" s="27">
        <v>16.5</v>
      </c>
      <c r="C76" s="25">
        <v>1</v>
      </c>
      <c r="D76" s="45" t="s">
        <v>16</v>
      </c>
      <c r="E76" s="57" t="s">
        <v>15</v>
      </c>
      <c r="F76" s="26">
        <v>3</v>
      </c>
      <c r="G76" s="23">
        <v>0</v>
      </c>
      <c r="H76" s="25">
        <v>3214</v>
      </c>
      <c r="I76" s="25">
        <v>3285</v>
      </c>
      <c r="J76" s="1">
        <v>3247</v>
      </c>
      <c r="K76" s="1"/>
    </row>
    <row r="77" spans="1:11" ht="18.75" customHeight="1">
      <c r="A77" s="70" t="s">
        <v>22</v>
      </c>
      <c r="B77" s="25">
        <v>16</v>
      </c>
      <c r="C77" s="25">
        <v>1</v>
      </c>
      <c r="D77" s="45" t="s">
        <v>16</v>
      </c>
      <c r="E77" s="57" t="s">
        <v>15</v>
      </c>
      <c r="F77" s="26">
        <v>3</v>
      </c>
      <c r="G77" s="23">
        <v>0</v>
      </c>
      <c r="H77" s="25">
        <v>2988</v>
      </c>
      <c r="I77" s="25">
        <v>3061</v>
      </c>
      <c r="J77" s="1">
        <v>3019</v>
      </c>
      <c r="K77" s="1"/>
    </row>
    <row r="78" spans="1:11" ht="18.75" customHeight="1">
      <c r="A78" s="70" t="s">
        <v>22</v>
      </c>
      <c r="B78" s="25">
        <v>15</v>
      </c>
      <c r="C78" s="25">
        <v>2</v>
      </c>
      <c r="D78" s="45" t="s">
        <v>16</v>
      </c>
      <c r="E78" s="57" t="s">
        <v>15</v>
      </c>
      <c r="F78" s="26">
        <v>3</v>
      </c>
      <c r="G78" s="23">
        <v>1</v>
      </c>
      <c r="H78" s="25">
        <v>3284</v>
      </c>
      <c r="I78" s="25">
        <v>3361</v>
      </c>
      <c r="J78" s="1">
        <v>3315</v>
      </c>
      <c r="K78" s="1"/>
    </row>
    <row r="79" spans="1:11" ht="18.75" customHeight="1">
      <c r="A79" s="70" t="s">
        <v>22</v>
      </c>
      <c r="B79" s="25">
        <v>13</v>
      </c>
      <c r="C79" s="25">
        <v>1</v>
      </c>
      <c r="D79" s="45" t="s">
        <v>12</v>
      </c>
      <c r="E79" s="57" t="s">
        <v>13</v>
      </c>
      <c r="F79" s="26">
        <v>2</v>
      </c>
      <c r="G79" s="23">
        <v>0</v>
      </c>
      <c r="H79" s="25">
        <v>3972</v>
      </c>
      <c r="I79" s="25">
        <v>4057</v>
      </c>
      <c r="J79" s="1"/>
      <c r="K79" s="1"/>
    </row>
    <row r="80" spans="1:11" ht="18.75" customHeight="1">
      <c r="A80" s="70" t="s">
        <v>22</v>
      </c>
      <c r="B80" s="25">
        <v>13</v>
      </c>
      <c r="C80" s="25">
        <v>2</v>
      </c>
      <c r="D80" s="45" t="s">
        <v>12</v>
      </c>
      <c r="E80" s="57" t="s">
        <v>13</v>
      </c>
      <c r="F80" s="26">
        <v>2</v>
      </c>
      <c r="G80" s="23">
        <v>0</v>
      </c>
      <c r="H80" s="25">
        <v>2585</v>
      </c>
      <c r="I80" s="25">
        <v>2677</v>
      </c>
      <c r="J80" s="1"/>
      <c r="K80" s="1"/>
    </row>
    <row r="81" spans="1:11" ht="18.75" customHeight="1">
      <c r="A81" s="70" t="s">
        <v>22</v>
      </c>
      <c r="B81" s="25">
        <v>13</v>
      </c>
      <c r="C81" s="25">
        <v>3</v>
      </c>
      <c r="D81" s="45" t="s">
        <v>12</v>
      </c>
      <c r="E81" s="57" t="s">
        <v>13</v>
      </c>
      <c r="F81" s="26">
        <v>2</v>
      </c>
      <c r="G81" s="23">
        <v>0</v>
      </c>
      <c r="H81" s="25">
        <v>4285</v>
      </c>
      <c r="I81" s="25">
        <v>4372</v>
      </c>
      <c r="J81" s="1"/>
      <c r="K81" s="1"/>
    </row>
    <row r="82" spans="1:11" ht="18.75" customHeight="1">
      <c r="A82" s="70" t="s">
        <v>22</v>
      </c>
      <c r="B82" s="25">
        <v>15</v>
      </c>
      <c r="C82" s="25">
        <v>3</v>
      </c>
      <c r="D82" s="45" t="s">
        <v>12</v>
      </c>
      <c r="E82" s="57" t="s">
        <v>13</v>
      </c>
      <c r="F82" s="26">
        <v>2</v>
      </c>
      <c r="G82" s="23">
        <v>1</v>
      </c>
      <c r="H82" s="25">
        <v>4271</v>
      </c>
      <c r="I82" s="25">
        <v>4349</v>
      </c>
      <c r="J82" s="1"/>
      <c r="K82" s="1"/>
    </row>
    <row r="83" spans="1:11" ht="18.75" customHeight="1">
      <c r="A83" s="70" t="s">
        <v>22</v>
      </c>
      <c r="B83" s="25">
        <v>15</v>
      </c>
      <c r="C83" s="25">
        <v>4</v>
      </c>
      <c r="D83" s="45" t="s">
        <v>12</v>
      </c>
      <c r="E83" s="57" t="s">
        <v>13</v>
      </c>
      <c r="F83" s="26">
        <v>2</v>
      </c>
      <c r="G83" s="23">
        <v>1</v>
      </c>
      <c r="H83" s="25">
        <v>3533</v>
      </c>
      <c r="I83" s="25">
        <v>3610</v>
      </c>
      <c r="J83" s="1"/>
      <c r="K83" s="1"/>
    </row>
    <row r="84" spans="1:11" ht="18.75" customHeight="1">
      <c r="A84" s="70" t="s">
        <v>23</v>
      </c>
      <c r="B84" s="25">
        <v>5</v>
      </c>
      <c r="C84" s="25">
        <v>1</v>
      </c>
      <c r="D84" s="45" t="s">
        <v>13</v>
      </c>
      <c r="E84" s="57" t="s">
        <v>13</v>
      </c>
      <c r="F84" s="26">
        <v>1</v>
      </c>
      <c r="G84" s="23">
        <v>0</v>
      </c>
      <c r="H84" s="25">
        <v>3405</v>
      </c>
      <c r="I84" s="25">
        <v>3615</v>
      </c>
      <c r="J84" s="1"/>
      <c r="K84" s="1"/>
    </row>
    <row r="85" spans="1:11" ht="18.75" customHeight="1">
      <c r="A85" s="70" t="s">
        <v>23</v>
      </c>
      <c r="B85" s="25">
        <v>10</v>
      </c>
      <c r="C85" s="25">
        <v>1</v>
      </c>
      <c r="D85" s="45" t="s">
        <v>13</v>
      </c>
      <c r="E85" s="57" t="s">
        <v>13</v>
      </c>
      <c r="F85" s="26">
        <v>1</v>
      </c>
      <c r="G85" s="23">
        <v>0</v>
      </c>
      <c r="H85" s="25">
        <v>3350</v>
      </c>
      <c r="I85" s="25">
        <v>3460</v>
      </c>
      <c r="J85" s="1"/>
      <c r="K85" s="1"/>
    </row>
    <row r="86" spans="1:11" ht="18.75" customHeight="1">
      <c r="A86" s="70" t="s">
        <v>23</v>
      </c>
      <c r="B86" s="25">
        <v>15</v>
      </c>
      <c r="C86" s="25">
        <v>1</v>
      </c>
      <c r="D86" s="45" t="s">
        <v>12</v>
      </c>
      <c r="E86" s="57" t="s">
        <v>13</v>
      </c>
      <c r="F86" s="26">
        <v>1</v>
      </c>
      <c r="G86" s="23">
        <v>0</v>
      </c>
      <c r="H86" s="25">
        <v>4189</v>
      </c>
      <c r="I86" s="25">
        <v>4266</v>
      </c>
      <c r="J86" s="1"/>
      <c r="K86" s="1"/>
    </row>
    <row r="87" spans="1:11" ht="18.75" customHeight="1">
      <c r="A87" s="70" t="s">
        <v>23</v>
      </c>
      <c r="B87" s="25">
        <v>20</v>
      </c>
      <c r="C87" s="25">
        <v>1</v>
      </c>
      <c r="D87" s="45" t="s">
        <v>12</v>
      </c>
      <c r="E87" s="57" t="s">
        <v>13</v>
      </c>
      <c r="F87" s="26">
        <v>1</v>
      </c>
      <c r="G87" s="23">
        <v>0</v>
      </c>
      <c r="H87" s="25">
        <v>4282</v>
      </c>
      <c r="I87" s="25">
        <v>4344</v>
      </c>
      <c r="J87" s="1"/>
      <c r="K87" s="1"/>
    </row>
    <row r="88" spans="1:11" ht="18.75" customHeight="1">
      <c r="A88" s="70" t="s">
        <v>23</v>
      </c>
      <c r="B88" s="25">
        <v>25</v>
      </c>
      <c r="C88" s="25">
        <v>1</v>
      </c>
      <c r="D88" s="45" t="s">
        <v>12</v>
      </c>
      <c r="E88" s="57" t="s">
        <v>13</v>
      </c>
      <c r="F88" s="26">
        <v>1</v>
      </c>
      <c r="G88" s="23">
        <v>0</v>
      </c>
      <c r="H88" s="25">
        <v>6021</v>
      </c>
      <c r="I88" s="25">
        <v>6071</v>
      </c>
      <c r="J88" s="1"/>
      <c r="K88" s="1"/>
    </row>
    <row r="89" spans="1:11" ht="18.75" customHeight="1">
      <c r="A89" s="70" t="s">
        <v>23</v>
      </c>
      <c r="B89" s="25">
        <v>30</v>
      </c>
      <c r="C89" s="25">
        <v>1</v>
      </c>
      <c r="D89" s="45" t="s">
        <v>16</v>
      </c>
      <c r="E89" s="57" t="s">
        <v>15</v>
      </c>
      <c r="F89" s="26">
        <v>3</v>
      </c>
      <c r="G89" s="23">
        <v>1</v>
      </c>
      <c r="H89" s="25">
        <v>3375</v>
      </c>
      <c r="I89" s="25">
        <v>3419</v>
      </c>
      <c r="J89" s="1">
        <v>3409</v>
      </c>
      <c r="K89" s="1"/>
    </row>
    <row r="90" spans="1:11" ht="18.75" customHeight="1">
      <c r="A90" s="70" t="s">
        <v>23</v>
      </c>
      <c r="B90" s="25">
        <v>30</v>
      </c>
      <c r="C90" s="25">
        <v>2</v>
      </c>
      <c r="D90" s="45" t="s">
        <v>12</v>
      </c>
      <c r="E90" s="57" t="s">
        <v>13</v>
      </c>
      <c r="F90" s="26">
        <v>1</v>
      </c>
      <c r="G90" s="23">
        <v>1</v>
      </c>
      <c r="H90" s="25">
        <v>2528</v>
      </c>
      <c r="I90" s="25">
        <v>2571</v>
      </c>
      <c r="J90" s="1"/>
      <c r="K90" s="1"/>
    </row>
    <row r="91" spans="1:11" ht="18.75" customHeight="1">
      <c r="A91" s="70" t="s">
        <v>23</v>
      </c>
      <c r="B91" s="25">
        <v>30</v>
      </c>
      <c r="C91" s="25">
        <v>3</v>
      </c>
      <c r="D91" s="45" t="s">
        <v>16</v>
      </c>
      <c r="E91" s="57" t="s">
        <v>15</v>
      </c>
      <c r="F91" s="26">
        <v>3</v>
      </c>
      <c r="G91" s="23">
        <v>1</v>
      </c>
      <c r="H91" s="25">
        <v>4425</v>
      </c>
      <c r="I91" s="25">
        <v>4469</v>
      </c>
      <c r="J91" s="1">
        <v>4463</v>
      </c>
      <c r="K91" s="1"/>
    </row>
    <row r="92" spans="1:11" ht="18.75" customHeight="1">
      <c r="A92" s="70" t="s">
        <v>23</v>
      </c>
      <c r="B92" s="25">
        <v>30</v>
      </c>
      <c r="C92" s="25">
        <v>4</v>
      </c>
      <c r="D92" s="45" t="s">
        <v>16</v>
      </c>
      <c r="E92" s="57" t="s">
        <v>15</v>
      </c>
      <c r="F92" s="26">
        <v>1</v>
      </c>
      <c r="G92" s="23">
        <v>1</v>
      </c>
      <c r="H92" s="25">
        <v>4522</v>
      </c>
      <c r="I92" s="25">
        <v>4566</v>
      </c>
      <c r="J92" s="1"/>
      <c r="K92" s="1"/>
    </row>
    <row r="93" spans="1:11" ht="18.75" customHeight="1">
      <c r="A93" s="70" t="s">
        <v>23</v>
      </c>
      <c r="B93" s="25">
        <v>30</v>
      </c>
      <c r="C93" s="25">
        <v>5</v>
      </c>
      <c r="D93" s="45" t="s">
        <v>12</v>
      </c>
      <c r="E93" s="57" t="s">
        <v>13</v>
      </c>
      <c r="F93" s="26">
        <v>1</v>
      </c>
      <c r="G93" s="23">
        <v>1</v>
      </c>
      <c r="H93" s="25">
        <v>4792</v>
      </c>
      <c r="I93" s="25">
        <v>4837</v>
      </c>
      <c r="J93" s="1"/>
      <c r="K93" s="1"/>
    </row>
    <row r="94" spans="1:11" ht="18.75" customHeight="1">
      <c r="A94" s="70" t="s">
        <v>23</v>
      </c>
      <c r="B94" s="25">
        <v>30</v>
      </c>
      <c r="C94" s="25">
        <v>6</v>
      </c>
      <c r="D94" s="45" t="s">
        <v>12</v>
      </c>
      <c r="E94" s="57" t="s">
        <v>13</v>
      </c>
      <c r="F94" s="26">
        <v>1</v>
      </c>
      <c r="G94" s="23">
        <v>1</v>
      </c>
      <c r="H94" s="25">
        <v>2787</v>
      </c>
      <c r="I94" s="25">
        <v>2832</v>
      </c>
      <c r="J94" s="1"/>
      <c r="K94" s="1"/>
    </row>
    <row r="95" spans="1:11" ht="18.75" customHeight="1">
      <c r="A95" s="70" t="s">
        <v>23</v>
      </c>
      <c r="B95" s="25">
        <v>32</v>
      </c>
      <c r="C95" s="25">
        <v>1</v>
      </c>
      <c r="D95" s="45" t="s">
        <v>12</v>
      </c>
      <c r="E95" s="57" t="s">
        <v>13</v>
      </c>
      <c r="F95" s="26">
        <v>1</v>
      </c>
      <c r="G95" s="23">
        <v>0</v>
      </c>
      <c r="H95" s="25">
        <v>3371</v>
      </c>
      <c r="I95" s="25">
        <v>3414</v>
      </c>
      <c r="J95" s="1"/>
      <c r="K95" s="1"/>
    </row>
    <row r="96" spans="1:11" ht="18.75" customHeight="1">
      <c r="A96" s="70" t="s">
        <v>23</v>
      </c>
      <c r="B96" s="25">
        <v>37</v>
      </c>
      <c r="C96" s="25">
        <v>1</v>
      </c>
      <c r="D96" s="45" t="s">
        <v>12</v>
      </c>
      <c r="E96" s="57" t="s">
        <v>13</v>
      </c>
      <c r="F96" s="26">
        <v>1</v>
      </c>
      <c r="G96" s="23">
        <v>0</v>
      </c>
      <c r="H96" s="25">
        <v>3705</v>
      </c>
      <c r="I96" s="25">
        <v>3743</v>
      </c>
      <c r="J96" s="1"/>
      <c r="K96" s="1"/>
    </row>
    <row r="97" spans="1:11" ht="18.75" customHeight="1">
      <c r="A97" s="70" t="s">
        <v>23</v>
      </c>
      <c r="B97" s="25">
        <v>42</v>
      </c>
      <c r="C97" s="25">
        <v>1</v>
      </c>
      <c r="D97" s="45" t="s">
        <v>12</v>
      </c>
      <c r="E97" s="57" t="s">
        <v>13</v>
      </c>
      <c r="F97" s="26">
        <v>1</v>
      </c>
      <c r="G97" s="23">
        <v>0</v>
      </c>
      <c r="H97" s="25">
        <v>4954</v>
      </c>
      <c r="I97" s="25">
        <v>4991</v>
      </c>
      <c r="J97" s="1"/>
      <c r="K97" s="1"/>
    </row>
    <row r="98" spans="1:11" ht="18.75" customHeight="1">
      <c r="A98" s="70" t="s">
        <v>23</v>
      </c>
      <c r="B98" s="25">
        <v>47</v>
      </c>
      <c r="C98" s="25">
        <v>1</v>
      </c>
      <c r="D98" s="45" t="s">
        <v>16</v>
      </c>
      <c r="E98" s="57" t="s">
        <v>15</v>
      </c>
      <c r="F98" s="26">
        <v>1</v>
      </c>
      <c r="G98" s="23">
        <v>0</v>
      </c>
      <c r="H98" s="25">
        <v>3181</v>
      </c>
      <c r="I98" s="25">
        <v>3214</v>
      </c>
      <c r="J98" s="1">
        <v>3218</v>
      </c>
      <c r="K98" s="1"/>
    </row>
    <row r="99" spans="1:11" ht="18.75" customHeight="1">
      <c r="A99" s="70" t="s">
        <v>23</v>
      </c>
      <c r="B99" s="25">
        <v>47</v>
      </c>
      <c r="C99" s="25">
        <v>2</v>
      </c>
      <c r="D99" s="45" t="s">
        <v>12</v>
      </c>
      <c r="E99" s="57" t="s">
        <v>13</v>
      </c>
      <c r="F99" s="26">
        <v>1</v>
      </c>
      <c r="G99" s="23">
        <v>0</v>
      </c>
      <c r="H99" s="25">
        <v>3398</v>
      </c>
      <c r="I99" s="25">
        <v>3431</v>
      </c>
      <c r="J99" s="1"/>
      <c r="K99" s="1"/>
    </row>
    <row r="100" spans="1:11" ht="18.75" customHeight="1">
      <c r="A100" s="70" t="s">
        <v>23</v>
      </c>
      <c r="B100" s="25">
        <v>47</v>
      </c>
      <c r="C100" s="25">
        <v>3</v>
      </c>
      <c r="D100" s="45" t="s">
        <v>12</v>
      </c>
      <c r="E100" s="57" t="s">
        <v>13</v>
      </c>
      <c r="F100" s="26">
        <v>1</v>
      </c>
      <c r="G100" s="23">
        <v>0</v>
      </c>
      <c r="H100" s="25">
        <v>2594</v>
      </c>
      <c r="I100" s="25">
        <v>2626</v>
      </c>
      <c r="J100" s="1"/>
      <c r="K100" s="1"/>
    </row>
    <row r="101" spans="1:11" ht="18.75" customHeight="1">
      <c r="A101" s="70" t="s">
        <v>23</v>
      </c>
      <c r="B101" s="25">
        <v>47</v>
      </c>
      <c r="C101" s="25">
        <v>4</v>
      </c>
      <c r="D101" s="45" t="s">
        <v>12</v>
      </c>
      <c r="E101" s="57" t="s">
        <v>13</v>
      </c>
      <c r="F101" s="26">
        <v>1</v>
      </c>
      <c r="G101" s="23">
        <v>0</v>
      </c>
      <c r="H101" s="25">
        <v>4043</v>
      </c>
      <c r="I101" s="25">
        <v>4075</v>
      </c>
      <c r="J101" s="1"/>
      <c r="K101" s="1"/>
    </row>
    <row r="102" spans="1:11" ht="18.75" customHeight="1">
      <c r="A102" s="70" t="s">
        <v>23</v>
      </c>
      <c r="B102" s="25">
        <v>50</v>
      </c>
      <c r="C102" s="25">
        <v>1</v>
      </c>
      <c r="D102" s="45" t="s">
        <v>13</v>
      </c>
      <c r="E102" s="57" t="s">
        <v>13</v>
      </c>
      <c r="F102" s="26">
        <v>1</v>
      </c>
      <c r="G102" s="23">
        <v>0</v>
      </c>
      <c r="H102" s="25">
        <v>3808</v>
      </c>
      <c r="I102" s="25">
        <v>3838</v>
      </c>
      <c r="J102" s="1"/>
      <c r="K102" s="1"/>
    </row>
    <row r="103" spans="1:11" ht="18.75" customHeight="1">
      <c r="A103" s="70" t="s">
        <v>23</v>
      </c>
      <c r="B103" s="25">
        <v>50</v>
      </c>
      <c r="C103" s="25">
        <v>2</v>
      </c>
      <c r="D103" s="45" t="s">
        <v>16</v>
      </c>
      <c r="E103" s="57" t="s">
        <v>15</v>
      </c>
      <c r="F103" s="26">
        <v>1</v>
      </c>
      <c r="G103" s="23">
        <v>0</v>
      </c>
      <c r="H103" s="25">
        <v>3218</v>
      </c>
      <c r="I103" s="25">
        <v>3249</v>
      </c>
      <c r="J103" s="1">
        <v>3261</v>
      </c>
      <c r="K103" s="1"/>
    </row>
    <row r="104" spans="1:11" ht="18.75" customHeight="1">
      <c r="A104" s="70" t="s">
        <v>24</v>
      </c>
      <c r="B104" s="25">
        <v>5</v>
      </c>
      <c r="C104" s="25">
        <v>1</v>
      </c>
      <c r="D104" s="45" t="s">
        <v>12</v>
      </c>
      <c r="E104" s="57" t="s">
        <v>13</v>
      </c>
      <c r="F104" s="26">
        <v>1</v>
      </c>
      <c r="G104" s="23">
        <v>0</v>
      </c>
      <c r="H104" s="25">
        <v>3429</v>
      </c>
      <c r="I104" s="25">
        <v>3637</v>
      </c>
      <c r="J104" s="1"/>
      <c r="K104" s="1"/>
    </row>
    <row r="105" spans="1:11" ht="18.75" customHeight="1">
      <c r="A105" s="70" t="s">
        <v>24</v>
      </c>
      <c r="B105" s="25">
        <v>10</v>
      </c>
      <c r="C105" s="25">
        <v>1</v>
      </c>
      <c r="D105" s="45" t="s">
        <v>12</v>
      </c>
      <c r="E105" s="57" t="s">
        <v>13</v>
      </c>
      <c r="F105" s="26">
        <v>2</v>
      </c>
      <c r="G105" s="23">
        <v>0</v>
      </c>
      <c r="H105" s="25">
        <v>3504</v>
      </c>
      <c r="I105" s="25">
        <v>3608</v>
      </c>
      <c r="J105" s="1"/>
      <c r="K105" s="1"/>
    </row>
    <row r="106" spans="1:11" ht="18.75" customHeight="1">
      <c r="A106" s="70" t="s">
        <v>24</v>
      </c>
      <c r="B106" s="25">
        <v>20</v>
      </c>
      <c r="C106" s="25">
        <v>1</v>
      </c>
      <c r="D106" s="45" t="s">
        <v>16</v>
      </c>
      <c r="E106" s="57" t="s">
        <v>15</v>
      </c>
      <c r="F106" s="26">
        <v>6</v>
      </c>
      <c r="G106" s="23">
        <v>0</v>
      </c>
      <c r="H106" s="25">
        <v>12654</v>
      </c>
      <c r="I106" s="25">
        <v>12714</v>
      </c>
      <c r="J106" s="1">
        <v>12687</v>
      </c>
      <c r="K106" s="1"/>
    </row>
    <row r="107" spans="1:11" ht="18.75" customHeight="1">
      <c r="A107" s="70" t="s">
        <v>24</v>
      </c>
      <c r="B107" s="25">
        <v>17</v>
      </c>
      <c r="C107" s="25">
        <v>1</v>
      </c>
      <c r="D107" s="45" t="s">
        <v>16</v>
      </c>
      <c r="E107" s="57" t="s">
        <v>15</v>
      </c>
      <c r="F107" s="26">
        <v>5</v>
      </c>
      <c r="G107" s="23">
        <v>0</v>
      </c>
      <c r="H107" s="25">
        <v>3303</v>
      </c>
      <c r="I107" s="25">
        <v>3371</v>
      </c>
      <c r="J107" s="1">
        <v>3329</v>
      </c>
      <c r="K107" s="1"/>
    </row>
    <row r="108" spans="1:11" ht="18.75" customHeight="1">
      <c r="A108" s="70" t="s">
        <v>24</v>
      </c>
      <c r="B108" s="25">
        <v>15</v>
      </c>
      <c r="C108" s="25">
        <v>1</v>
      </c>
      <c r="D108" s="45" t="s">
        <v>16</v>
      </c>
      <c r="E108" s="57" t="s">
        <v>15</v>
      </c>
      <c r="F108" s="26">
        <v>4</v>
      </c>
      <c r="G108" s="23">
        <v>0</v>
      </c>
      <c r="H108" s="25">
        <v>4482</v>
      </c>
      <c r="I108" s="25">
        <v>4553</v>
      </c>
      <c r="J108" s="1">
        <v>4510</v>
      </c>
      <c r="K108" s="1"/>
    </row>
    <row r="109" spans="1:11" ht="18.75" customHeight="1">
      <c r="A109" s="70" t="s">
        <v>24</v>
      </c>
      <c r="B109" s="25">
        <v>15</v>
      </c>
      <c r="C109" s="25">
        <v>2</v>
      </c>
      <c r="D109" s="45" t="s">
        <v>16</v>
      </c>
      <c r="E109" s="57" t="s">
        <v>15</v>
      </c>
      <c r="F109" s="26">
        <v>4</v>
      </c>
      <c r="G109" s="23">
        <v>0</v>
      </c>
      <c r="H109" s="25">
        <v>2189</v>
      </c>
      <c r="I109" s="25">
        <v>2259</v>
      </c>
      <c r="J109" s="1">
        <v>2214</v>
      </c>
      <c r="K109" s="1"/>
    </row>
    <row r="110" spans="1:11" ht="18.75" customHeight="1">
      <c r="A110" s="70" t="s">
        <v>24</v>
      </c>
      <c r="B110" s="25">
        <v>15</v>
      </c>
      <c r="C110" s="25">
        <v>3</v>
      </c>
      <c r="D110" s="45" t="s">
        <v>16</v>
      </c>
      <c r="E110" s="57" t="s">
        <v>15</v>
      </c>
      <c r="F110" s="26">
        <v>5</v>
      </c>
      <c r="G110" s="23">
        <v>0</v>
      </c>
      <c r="H110" s="25">
        <v>4365</v>
      </c>
      <c r="I110" s="25">
        <v>4435</v>
      </c>
      <c r="J110" s="1">
        <v>4395</v>
      </c>
      <c r="K110" s="1"/>
    </row>
    <row r="111" spans="1:11" ht="18.75" customHeight="1">
      <c r="A111" s="70" t="s">
        <v>24</v>
      </c>
      <c r="B111" s="27">
        <v>12.5</v>
      </c>
      <c r="C111" s="25">
        <v>1</v>
      </c>
      <c r="D111" s="45" t="s">
        <v>16</v>
      </c>
      <c r="E111" s="57" t="s">
        <v>15</v>
      </c>
      <c r="F111" s="26">
        <v>3</v>
      </c>
      <c r="G111" s="23">
        <v>0</v>
      </c>
      <c r="H111" s="25">
        <v>3724</v>
      </c>
      <c r="I111" s="25">
        <v>3807</v>
      </c>
      <c r="J111" s="1">
        <v>3756</v>
      </c>
      <c r="K111" s="1"/>
    </row>
    <row r="112" spans="1:11" ht="18.75" customHeight="1">
      <c r="A112" s="70" t="s">
        <v>24</v>
      </c>
      <c r="B112" s="25">
        <v>11</v>
      </c>
      <c r="C112" s="25">
        <v>1</v>
      </c>
      <c r="D112" s="45" t="s">
        <v>12</v>
      </c>
      <c r="E112" s="57" t="s">
        <v>13</v>
      </c>
      <c r="F112" s="26">
        <v>2</v>
      </c>
      <c r="G112" s="23">
        <v>0</v>
      </c>
      <c r="H112" s="25">
        <v>3189</v>
      </c>
      <c r="I112" s="25">
        <v>3284</v>
      </c>
      <c r="J112" s="1"/>
      <c r="K112" s="1"/>
    </row>
    <row r="113" spans="1:11" ht="18.75" customHeight="1">
      <c r="A113" s="70" t="s">
        <v>24</v>
      </c>
      <c r="B113" s="25">
        <v>12</v>
      </c>
      <c r="C113" s="25">
        <v>1</v>
      </c>
      <c r="D113" s="45" t="s">
        <v>16</v>
      </c>
      <c r="E113" s="57" t="s">
        <v>15</v>
      </c>
      <c r="F113" s="26">
        <v>3</v>
      </c>
      <c r="G113" s="23">
        <v>0</v>
      </c>
      <c r="H113" s="25">
        <v>3659</v>
      </c>
      <c r="I113" s="25">
        <v>3745</v>
      </c>
      <c r="J113" s="1">
        <v>3691</v>
      </c>
      <c r="K113" s="1"/>
    </row>
    <row r="114" spans="1:11" ht="18.75" customHeight="1">
      <c r="A114" s="70" t="s">
        <v>24</v>
      </c>
      <c r="B114" s="25">
        <v>11</v>
      </c>
      <c r="C114" s="25">
        <v>2</v>
      </c>
      <c r="D114" s="45" t="s">
        <v>12</v>
      </c>
      <c r="E114" s="57" t="s">
        <v>13</v>
      </c>
      <c r="F114" s="26">
        <v>2</v>
      </c>
      <c r="G114" s="23">
        <v>0</v>
      </c>
      <c r="H114" s="25">
        <v>1766</v>
      </c>
      <c r="I114" s="25">
        <v>1860</v>
      </c>
      <c r="J114" s="1"/>
      <c r="K114" s="1"/>
    </row>
    <row r="115" spans="1:11" ht="18.75" customHeight="1">
      <c r="A115" s="70" t="s">
        <v>24</v>
      </c>
      <c r="B115" s="25">
        <v>13</v>
      </c>
      <c r="C115" s="25">
        <v>1</v>
      </c>
      <c r="D115" s="45" t="s">
        <v>16</v>
      </c>
      <c r="E115" s="57" t="s">
        <v>15</v>
      </c>
      <c r="F115" s="26">
        <v>3</v>
      </c>
      <c r="G115" s="23">
        <v>0</v>
      </c>
      <c r="H115" s="25">
        <v>2024</v>
      </c>
      <c r="I115" s="25">
        <v>2111</v>
      </c>
      <c r="J115" s="1">
        <v>2056</v>
      </c>
      <c r="K115" s="1"/>
    </row>
    <row r="116" spans="1:11" ht="18.75" customHeight="1">
      <c r="A116" s="70" t="s">
        <v>24</v>
      </c>
      <c r="B116" s="27">
        <v>11.5</v>
      </c>
      <c r="C116" s="25">
        <v>1</v>
      </c>
      <c r="D116" s="45" t="s">
        <v>12</v>
      </c>
      <c r="E116" s="57" t="s">
        <v>13</v>
      </c>
      <c r="F116" s="26">
        <v>2</v>
      </c>
      <c r="G116" s="23">
        <v>0</v>
      </c>
      <c r="H116" s="25">
        <v>2919</v>
      </c>
      <c r="I116" s="25">
        <v>3017</v>
      </c>
      <c r="J116" s="1"/>
      <c r="K116" s="1"/>
    </row>
    <row r="117" spans="1:11" ht="18.75" customHeight="1">
      <c r="A117" s="70" t="s">
        <v>24</v>
      </c>
      <c r="B117" s="27">
        <v>11.5</v>
      </c>
      <c r="C117" s="25">
        <v>2</v>
      </c>
      <c r="D117" s="45" t="s">
        <v>12</v>
      </c>
      <c r="E117" s="57" t="s">
        <v>13</v>
      </c>
      <c r="F117" s="26">
        <v>2</v>
      </c>
      <c r="G117" s="23">
        <v>0</v>
      </c>
      <c r="H117" s="25">
        <v>3201</v>
      </c>
      <c r="I117" s="25">
        <v>3298</v>
      </c>
      <c r="J117" s="1"/>
      <c r="K117" s="1"/>
    </row>
    <row r="118" spans="1:11" ht="18.75" customHeight="1">
      <c r="A118" s="70" t="s">
        <v>25</v>
      </c>
      <c r="B118" s="25">
        <v>5</v>
      </c>
      <c r="C118" s="25">
        <v>1</v>
      </c>
      <c r="D118" s="45" t="s">
        <v>13</v>
      </c>
      <c r="E118" s="57" t="s">
        <v>13</v>
      </c>
      <c r="F118" s="26">
        <v>3</v>
      </c>
      <c r="G118" s="23">
        <v>0</v>
      </c>
      <c r="H118" s="25">
        <v>3122</v>
      </c>
      <c r="I118" s="25">
        <v>3330</v>
      </c>
      <c r="J118" s="1"/>
      <c r="K118" s="1"/>
    </row>
    <row r="119" spans="1:11" ht="18.75" customHeight="1">
      <c r="A119" s="70" t="s">
        <v>25</v>
      </c>
      <c r="B119" s="25">
        <v>10</v>
      </c>
      <c r="C119" s="25">
        <v>1</v>
      </c>
      <c r="D119" s="45" t="s">
        <v>14</v>
      </c>
      <c r="E119" s="57" t="s">
        <v>15</v>
      </c>
      <c r="F119" s="26">
        <v>4</v>
      </c>
      <c r="G119" s="23">
        <v>0</v>
      </c>
      <c r="H119" s="25">
        <v>3692</v>
      </c>
      <c r="I119" s="25">
        <v>3802</v>
      </c>
      <c r="J119" s="1">
        <v>3729</v>
      </c>
      <c r="K119" s="1"/>
    </row>
    <row r="120" spans="1:11" ht="18.75" customHeight="1">
      <c r="A120" s="70" t="s">
        <v>25</v>
      </c>
      <c r="B120" s="25">
        <v>20</v>
      </c>
      <c r="C120" s="25">
        <v>1</v>
      </c>
      <c r="D120" s="45" t="s">
        <v>14</v>
      </c>
      <c r="E120" s="57" t="s">
        <v>15</v>
      </c>
      <c r="F120" s="26">
        <v>4</v>
      </c>
      <c r="G120" s="23">
        <v>0</v>
      </c>
      <c r="H120" s="25">
        <v>3759</v>
      </c>
      <c r="I120" s="25">
        <v>3820</v>
      </c>
      <c r="J120" s="1">
        <v>3784</v>
      </c>
      <c r="K120" s="1"/>
    </row>
    <row r="121" spans="1:11" ht="18.75" customHeight="1">
      <c r="A121" s="70" t="s">
        <v>25</v>
      </c>
      <c r="B121" s="25">
        <v>20</v>
      </c>
      <c r="C121" s="25">
        <v>2</v>
      </c>
      <c r="D121" s="45" t="s">
        <v>14</v>
      </c>
      <c r="E121" s="57" t="s">
        <v>15</v>
      </c>
      <c r="F121" s="26">
        <v>4</v>
      </c>
      <c r="G121" s="23">
        <v>0</v>
      </c>
      <c r="H121" s="25">
        <v>4200</v>
      </c>
      <c r="I121" s="25">
        <v>4255</v>
      </c>
      <c r="J121" s="1">
        <v>4228</v>
      </c>
      <c r="K121" s="1"/>
    </row>
    <row r="122" spans="1:11" ht="18.75" customHeight="1">
      <c r="A122" s="70" t="s">
        <v>25</v>
      </c>
      <c r="B122" s="25">
        <v>20</v>
      </c>
      <c r="C122" s="25">
        <v>3</v>
      </c>
      <c r="D122" s="45" t="s">
        <v>14</v>
      </c>
      <c r="E122" s="57" t="s">
        <v>15</v>
      </c>
      <c r="F122" s="26">
        <v>4</v>
      </c>
      <c r="G122" s="23">
        <v>0</v>
      </c>
      <c r="H122" s="25">
        <v>2983</v>
      </c>
      <c r="I122" s="25">
        <v>3043</v>
      </c>
      <c r="J122" s="1">
        <v>3007</v>
      </c>
      <c r="K122" s="1"/>
    </row>
    <row r="123" spans="1:11" ht="18.75" customHeight="1">
      <c r="A123" s="70" t="s">
        <v>25</v>
      </c>
      <c r="B123" s="25">
        <v>20</v>
      </c>
      <c r="C123" s="25">
        <v>4</v>
      </c>
      <c r="D123" s="45" t="s">
        <v>14</v>
      </c>
      <c r="E123" s="57" t="s">
        <v>15</v>
      </c>
      <c r="F123" s="26">
        <v>4</v>
      </c>
      <c r="G123" s="23">
        <v>0</v>
      </c>
      <c r="H123" s="25">
        <v>5177</v>
      </c>
      <c r="I123" s="25">
        <v>5238</v>
      </c>
      <c r="J123" s="1">
        <v>5206</v>
      </c>
      <c r="K123" s="1"/>
    </row>
    <row r="124" spans="1:11" ht="18.75" customHeight="1">
      <c r="A124" s="70" t="s">
        <v>25</v>
      </c>
      <c r="B124" s="27">
        <v>17.5</v>
      </c>
      <c r="C124" s="25">
        <v>1</v>
      </c>
      <c r="D124" s="45" t="s">
        <v>14</v>
      </c>
      <c r="E124" s="57" t="s">
        <v>15</v>
      </c>
      <c r="F124" s="26">
        <v>3</v>
      </c>
      <c r="G124" s="23">
        <v>0</v>
      </c>
      <c r="H124" s="25">
        <v>3141</v>
      </c>
      <c r="I124" s="25">
        <v>3204</v>
      </c>
      <c r="J124" s="1">
        <v>3174</v>
      </c>
      <c r="K124" s="1"/>
    </row>
    <row r="125" spans="1:11" ht="18.75" customHeight="1">
      <c r="A125" s="70" t="s">
        <v>25</v>
      </c>
      <c r="B125" s="27">
        <v>17.5</v>
      </c>
      <c r="C125" s="25">
        <v>2</v>
      </c>
      <c r="D125" s="45" t="s">
        <v>14</v>
      </c>
      <c r="E125" s="57" t="s">
        <v>15</v>
      </c>
      <c r="F125" s="26">
        <v>3</v>
      </c>
      <c r="G125" s="23">
        <v>0</v>
      </c>
      <c r="H125" s="25">
        <v>3450</v>
      </c>
      <c r="I125" s="25">
        <v>3519</v>
      </c>
      <c r="J125" s="1">
        <v>3475</v>
      </c>
      <c r="K125" s="1"/>
    </row>
    <row r="126" spans="1:11" ht="18.75" customHeight="1">
      <c r="A126" s="70" t="s">
        <v>25</v>
      </c>
      <c r="B126" s="25">
        <v>15</v>
      </c>
      <c r="C126" s="25">
        <v>1</v>
      </c>
      <c r="D126" s="45" t="s">
        <v>14</v>
      </c>
      <c r="E126" s="57" t="s">
        <v>15</v>
      </c>
      <c r="F126" s="26">
        <v>3</v>
      </c>
      <c r="G126" s="23">
        <v>0</v>
      </c>
      <c r="H126" s="25">
        <v>3382</v>
      </c>
      <c r="I126" s="25">
        <v>3453</v>
      </c>
      <c r="J126" s="1">
        <v>3409</v>
      </c>
      <c r="K126" s="1"/>
    </row>
    <row r="127" spans="1:11" ht="18.75" customHeight="1">
      <c r="A127" s="70" t="s">
        <v>25</v>
      </c>
      <c r="B127" s="25">
        <v>10</v>
      </c>
      <c r="C127" s="25">
        <v>2</v>
      </c>
      <c r="D127" s="45" t="s">
        <v>13</v>
      </c>
      <c r="E127" s="57" t="s">
        <v>13</v>
      </c>
      <c r="F127" s="26">
        <v>3</v>
      </c>
      <c r="G127" s="23">
        <v>0</v>
      </c>
      <c r="H127" s="25">
        <v>3189</v>
      </c>
      <c r="I127" s="25">
        <v>3294</v>
      </c>
      <c r="J127" s="1"/>
      <c r="K127" s="1"/>
    </row>
    <row r="128" spans="1:11" ht="18.75" customHeight="1">
      <c r="A128" s="70" t="s">
        <v>25</v>
      </c>
      <c r="B128" s="25">
        <v>10</v>
      </c>
      <c r="C128" s="25">
        <v>3</v>
      </c>
      <c r="D128" s="45" t="s">
        <v>13</v>
      </c>
      <c r="E128" s="57" t="s">
        <v>13</v>
      </c>
      <c r="F128" s="26">
        <v>3</v>
      </c>
      <c r="G128" s="23">
        <v>0</v>
      </c>
      <c r="H128" s="25">
        <v>3480</v>
      </c>
      <c r="I128" s="25">
        <v>3584</v>
      </c>
      <c r="J128" s="1"/>
      <c r="K128" s="1"/>
    </row>
    <row r="129" spans="1:11" ht="18.75" customHeight="1">
      <c r="A129" s="70" t="s">
        <v>26</v>
      </c>
      <c r="B129" s="25">
        <v>5</v>
      </c>
      <c r="C129" s="25">
        <v>1</v>
      </c>
      <c r="D129" s="45" t="s">
        <v>12</v>
      </c>
      <c r="E129" s="57" t="s">
        <v>13</v>
      </c>
      <c r="F129" s="26">
        <v>1</v>
      </c>
      <c r="G129" s="23">
        <v>0</v>
      </c>
      <c r="H129" s="25">
        <v>2766</v>
      </c>
      <c r="I129" s="25">
        <v>2976</v>
      </c>
      <c r="J129" s="1"/>
      <c r="K129" s="1"/>
    </row>
    <row r="130" spans="1:11" ht="18.75" customHeight="1">
      <c r="A130" s="70" t="s">
        <v>26</v>
      </c>
      <c r="B130" s="25">
        <v>10</v>
      </c>
      <c r="C130" s="25">
        <v>1</v>
      </c>
      <c r="D130" s="45" t="s">
        <v>13</v>
      </c>
      <c r="E130" s="57" t="s">
        <v>13</v>
      </c>
      <c r="F130" s="26">
        <v>1</v>
      </c>
      <c r="G130" s="23">
        <v>0</v>
      </c>
      <c r="H130" s="25">
        <v>1679</v>
      </c>
      <c r="I130" s="25">
        <v>1791</v>
      </c>
      <c r="J130" s="1"/>
      <c r="K130" s="1"/>
    </row>
    <row r="131" spans="1:11" ht="18.75" customHeight="1">
      <c r="A131" s="70" t="s">
        <v>26</v>
      </c>
      <c r="B131" s="25">
        <v>15</v>
      </c>
      <c r="C131" s="25">
        <v>1</v>
      </c>
      <c r="D131" s="45" t="s">
        <v>12</v>
      </c>
      <c r="E131" s="57" t="s">
        <v>13</v>
      </c>
      <c r="F131" s="26">
        <v>1</v>
      </c>
      <c r="G131" s="23">
        <v>0</v>
      </c>
      <c r="H131" s="25">
        <v>3141</v>
      </c>
      <c r="I131" s="25">
        <v>3219</v>
      </c>
      <c r="J131" s="1"/>
      <c r="K131" s="1"/>
    </row>
    <row r="132" spans="1:11" ht="18.75" customHeight="1">
      <c r="A132" s="70" t="s">
        <v>26</v>
      </c>
      <c r="B132" s="25">
        <v>20</v>
      </c>
      <c r="C132" s="25">
        <v>1</v>
      </c>
      <c r="D132" s="45" t="s">
        <v>12</v>
      </c>
      <c r="E132" s="57" t="s">
        <v>13</v>
      </c>
      <c r="F132" s="26">
        <v>1</v>
      </c>
      <c r="G132" s="23">
        <v>0</v>
      </c>
      <c r="H132" s="25">
        <v>2820</v>
      </c>
      <c r="I132" s="25">
        <v>2881</v>
      </c>
      <c r="J132" s="1"/>
      <c r="K132" s="1"/>
    </row>
    <row r="133" spans="1:11" ht="18.75" customHeight="1">
      <c r="A133" s="70" t="s">
        <v>26</v>
      </c>
      <c r="B133" s="25">
        <v>25</v>
      </c>
      <c r="C133" s="25">
        <v>1</v>
      </c>
      <c r="D133" s="45" t="s">
        <v>12</v>
      </c>
      <c r="E133" s="57" t="s">
        <v>13</v>
      </c>
      <c r="F133" s="26">
        <v>1</v>
      </c>
      <c r="G133" s="23">
        <v>0</v>
      </c>
      <c r="H133" s="25">
        <v>3036</v>
      </c>
      <c r="I133" s="25">
        <v>3087</v>
      </c>
      <c r="J133" s="1"/>
      <c r="K133" s="1"/>
    </row>
    <row r="134" spans="1:11" ht="18.75" customHeight="1">
      <c r="A134" s="70" t="s">
        <v>26</v>
      </c>
      <c r="B134" s="25">
        <v>30</v>
      </c>
      <c r="C134" s="25">
        <v>1</v>
      </c>
      <c r="D134" s="45" t="s">
        <v>16</v>
      </c>
      <c r="E134" s="57" t="s">
        <v>15</v>
      </c>
      <c r="F134" s="26">
        <v>1</v>
      </c>
      <c r="G134" s="23">
        <v>1</v>
      </c>
      <c r="H134" s="25">
        <v>5509</v>
      </c>
      <c r="I134" s="25">
        <v>5553</v>
      </c>
      <c r="J134" s="1"/>
      <c r="K134" s="1"/>
    </row>
    <row r="135" spans="1:11" ht="18.75" customHeight="1">
      <c r="A135" s="70" t="s">
        <v>26</v>
      </c>
      <c r="B135" s="25">
        <v>30</v>
      </c>
      <c r="C135" s="25">
        <v>2</v>
      </c>
      <c r="D135" s="45" t="s">
        <v>16</v>
      </c>
      <c r="E135" s="57" t="s">
        <v>15</v>
      </c>
      <c r="F135" s="26">
        <v>4</v>
      </c>
      <c r="G135" s="23">
        <v>1</v>
      </c>
      <c r="H135" s="25">
        <v>3319</v>
      </c>
      <c r="I135" s="25">
        <v>3363</v>
      </c>
      <c r="J135" s="1">
        <v>3378</v>
      </c>
      <c r="K135" s="1"/>
    </row>
    <row r="136" spans="1:11" ht="18.75" customHeight="1">
      <c r="A136" s="70" t="s">
        <v>26</v>
      </c>
      <c r="B136" s="25">
        <v>30</v>
      </c>
      <c r="C136" s="25">
        <v>3</v>
      </c>
      <c r="D136" s="45" t="s">
        <v>16</v>
      </c>
      <c r="E136" s="57" t="s">
        <v>15</v>
      </c>
      <c r="F136" s="26">
        <v>4</v>
      </c>
      <c r="G136" s="23">
        <v>1</v>
      </c>
      <c r="H136" s="25">
        <v>4820</v>
      </c>
      <c r="I136" s="25">
        <v>4865</v>
      </c>
      <c r="J136" s="1">
        <v>4936</v>
      </c>
      <c r="K136" s="1"/>
    </row>
    <row r="137" spans="1:11" ht="18.75" customHeight="1">
      <c r="A137" s="70" t="s">
        <v>26</v>
      </c>
      <c r="B137" s="25">
        <v>30</v>
      </c>
      <c r="C137" s="25">
        <v>4</v>
      </c>
      <c r="D137" s="45" t="s">
        <v>16</v>
      </c>
      <c r="E137" s="57" t="s">
        <v>15</v>
      </c>
      <c r="F137" s="26">
        <v>1</v>
      </c>
      <c r="G137" s="23">
        <v>1</v>
      </c>
      <c r="H137" s="25">
        <v>7253</v>
      </c>
      <c r="I137" s="25">
        <v>7298</v>
      </c>
      <c r="J137" s="1">
        <v>7359</v>
      </c>
      <c r="K137" s="1"/>
    </row>
    <row r="138" spans="1:11" ht="18.75" customHeight="1">
      <c r="A138" s="70" t="s">
        <v>26</v>
      </c>
      <c r="B138" s="25">
        <v>30</v>
      </c>
      <c r="C138" s="25">
        <v>5</v>
      </c>
      <c r="D138" s="45" t="s">
        <v>16</v>
      </c>
      <c r="E138" s="57" t="s">
        <v>15</v>
      </c>
      <c r="F138" s="26">
        <v>2</v>
      </c>
      <c r="G138" s="23">
        <v>1</v>
      </c>
      <c r="H138" s="25">
        <v>3744</v>
      </c>
      <c r="I138" s="25">
        <v>3789</v>
      </c>
      <c r="J138" s="1">
        <v>3884</v>
      </c>
      <c r="K138" s="1"/>
    </row>
    <row r="139" spans="1:11" ht="18.75" customHeight="1">
      <c r="A139" s="70" t="s">
        <v>26</v>
      </c>
      <c r="B139" s="25">
        <v>28</v>
      </c>
      <c r="C139" s="25">
        <v>1</v>
      </c>
      <c r="D139" s="45" t="s">
        <v>12</v>
      </c>
      <c r="E139" s="57" t="s">
        <v>13</v>
      </c>
      <c r="F139" s="26">
        <v>2</v>
      </c>
      <c r="G139" s="23">
        <v>0</v>
      </c>
      <c r="H139" s="25">
        <v>5051</v>
      </c>
      <c r="I139" s="25">
        <v>5099</v>
      </c>
      <c r="J139" s="1"/>
      <c r="K139" s="1"/>
    </row>
    <row r="140" spans="1:11" ht="18.75" customHeight="1">
      <c r="A140" s="70" t="s">
        <v>26</v>
      </c>
      <c r="B140" s="25">
        <v>28</v>
      </c>
      <c r="C140" s="25">
        <v>2</v>
      </c>
      <c r="D140" s="45" t="s">
        <v>16</v>
      </c>
      <c r="E140" s="57" t="s">
        <v>15</v>
      </c>
      <c r="F140" s="26">
        <v>5</v>
      </c>
      <c r="G140" s="23">
        <v>0</v>
      </c>
      <c r="H140" s="25">
        <v>2203</v>
      </c>
      <c r="I140" s="25">
        <v>2249</v>
      </c>
      <c r="J140" s="1">
        <v>2307</v>
      </c>
      <c r="K140" s="1"/>
    </row>
    <row r="141" spans="1:11" ht="18.75" customHeight="1">
      <c r="A141" s="70" t="s">
        <v>26</v>
      </c>
      <c r="B141" s="25">
        <v>28</v>
      </c>
      <c r="C141" s="25">
        <v>3</v>
      </c>
      <c r="D141" s="45" t="s">
        <v>12</v>
      </c>
      <c r="E141" s="57" t="s">
        <v>13</v>
      </c>
      <c r="F141" s="26">
        <v>1</v>
      </c>
      <c r="G141" s="23">
        <v>0</v>
      </c>
      <c r="H141" s="25">
        <v>2093</v>
      </c>
      <c r="I141" s="25">
        <v>2139</v>
      </c>
      <c r="J141" s="1"/>
      <c r="K141" s="1"/>
    </row>
    <row r="142" spans="1:11" ht="18.75" customHeight="1">
      <c r="A142" s="70" t="s">
        <v>26</v>
      </c>
      <c r="B142" s="25">
        <v>28</v>
      </c>
      <c r="C142" s="25">
        <v>4</v>
      </c>
      <c r="D142" s="45" t="s">
        <v>16</v>
      </c>
      <c r="E142" s="57" t="s">
        <v>15</v>
      </c>
      <c r="F142" s="26">
        <v>1</v>
      </c>
      <c r="G142" s="23">
        <v>0</v>
      </c>
      <c r="H142" s="25">
        <v>4207</v>
      </c>
      <c r="I142" s="25">
        <v>4253</v>
      </c>
      <c r="J142" s="1">
        <v>4323</v>
      </c>
      <c r="K142" s="1"/>
    </row>
    <row r="143" spans="1:11" ht="18.75" customHeight="1">
      <c r="A143" s="70" t="s">
        <v>26</v>
      </c>
      <c r="B143" s="25">
        <v>28</v>
      </c>
      <c r="C143" s="25">
        <v>5</v>
      </c>
      <c r="D143" s="45" t="s">
        <v>12</v>
      </c>
      <c r="E143" s="57" t="s">
        <v>13</v>
      </c>
      <c r="F143" s="26">
        <v>3</v>
      </c>
      <c r="G143" s="23">
        <v>0</v>
      </c>
      <c r="H143" s="25">
        <v>4198</v>
      </c>
      <c r="I143" s="25">
        <v>4244</v>
      </c>
      <c r="J143" s="1"/>
      <c r="K143" s="1"/>
    </row>
    <row r="144" spans="1:11" ht="18.75" customHeight="1">
      <c r="A144" s="70" t="s">
        <v>26</v>
      </c>
      <c r="B144" s="25">
        <v>28</v>
      </c>
      <c r="C144" s="25">
        <v>6</v>
      </c>
      <c r="D144" s="45" t="s">
        <v>12</v>
      </c>
      <c r="E144" s="57" t="s">
        <v>13</v>
      </c>
      <c r="F144" s="26">
        <v>1</v>
      </c>
      <c r="G144" s="23">
        <v>0</v>
      </c>
      <c r="H144" s="25">
        <v>5339</v>
      </c>
      <c r="I144" s="25">
        <v>5386</v>
      </c>
      <c r="J144" s="1"/>
      <c r="K144" s="1"/>
    </row>
    <row r="145" spans="1:11" ht="18.75" customHeight="1">
      <c r="A145" s="70" t="s">
        <v>26</v>
      </c>
      <c r="B145" s="25">
        <v>27</v>
      </c>
      <c r="C145" s="25">
        <v>1</v>
      </c>
      <c r="D145" s="45" t="s">
        <v>12</v>
      </c>
      <c r="E145" s="57" t="s">
        <v>13</v>
      </c>
      <c r="F145" s="26">
        <v>1</v>
      </c>
      <c r="G145" s="23">
        <v>0</v>
      </c>
      <c r="H145" s="25">
        <v>3357</v>
      </c>
      <c r="I145" s="25">
        <v>3404</v>
      </c>
      <c r="J145" s="1"/>
      <c r="K145" s="1"/>
    </row>
    <row r="146" spans="1:11" ht="18.75" customHeight="1">
      <c r="A146" s="70" t="s">
        <v>26</v>
      </c>
      <c r="B146" s="25">
        <v>29</v>
      </c>
      <c r="C146" s="25">
        <v>1</v>
      </c>
      <c r="D146" s="45" t="s">
        <v>12</v>
      </c>
      <c r="E146" s="57" t="s">
        <v>13</v>
      </c>
      <c r="F146" s="26">
        <v>1</v>
      </c>
      <c r="G146" s="23">
        <v>0</v>
      </c>
      <c r="H146" s="25">
        <v>3716</v>
      </c>
      <c r="I146" s="25">
        <v>3762</v>
      </c>
      <c r="J146" s="1"/>
      <c r="K146" s="1"/>
    </row>
    <row r="147" spans="1:11" ht="18.75" customHeight="1">
      <c r="A147" s="70" t="s">
        <v>26</v>
      </c>
      <c r="B147" s="25">
        <v>30</v>
      </c>
      <c r="C147" s="25">
        <v>6</v>
      </c>
      <c r="D147" s="45" t="s">
        <v>12</v>
      </c>
      <c r="E147" s="57" t="s">
        <v>13</v>
      </c>
      <c r="F147" s="26">
        <v>1</v>
      </c>
      <c r="G147" s="23">
        <v>1</v>
      </c>
      <c r="H147" s="25">
        <v>3072</v>
      </c>
      <c r="I147" s="25">
        <v>3119</v>
      </c>
      <c r="J147" s="1"/>
      <c r="K147" s="1"/>
    </row>
    <row r="148" spans="1:11" ht="18.75" customHeight="1">
      <c r="A148" s="70" t="s">
        <v>26</v>
      </c>
      <c r="B148" s="25">
        <v>30</v>
      </c>
      <c r="C148" s="25">
        <v>7</v>
      </c>
      <c r="D148" s="45" t="s">
        <v>12</v>
      </c>
      <c r="E148" s="57" t="s">
        <v>13</v>
      </c>
      <c r="F148" s="26">
        <v>1</v>
      </c>
      <c r="G148" s="23">
        <v>1</v>
      </c>
      <c r="H148" s="25">
        <v>6418</v>
      </c>
      <c r="I148" s="25">
        <v>6461</v>
      </c>
      <c r="J148" s="1"/>
      <c r="K148" s="1"/>
    </row>
    <row r="149" spans="1:11" ht="18.75" customHeight="1">
      <c r="A149" s="70" t="s">
        <v>26</v>
      </c>
      <c r="B149" s="25">
        <v>30</v>
      </c>
      <c r="C149" s="25">
        <v>8</v>
      </c>
      <c r="D149" s="45" t="s">
        <v>12</v>
      </c>
      <c r="E149" s="57" t="s">
        <v>13</v>
      </c>
      <c r="F149" s="26">
        <v>1</v>
      </c>
      <c r="G149" s="23">
        <v>1</v>
      </c>
      <c r="H149" s="25">
        <v>6294</v>
      </c>
      <c r="I149" s="25">
        <v>6339</v>
      </c>
      <c r="J149" s="1"/>
      <c r="K149" s="1"/>
    </row>
    <row r="150" spans="1:11" ht="18.75" customHeight="1">
      <c r="A150" s="70" t="s">
        <v>27</v>
      </c>
      <c r="B150" s="25">
        <v>10</v>
      </c>
      <c r="C150" s="25">
        <v>1</v>
      </c>
      <c r="D150" s="45" t="s">
        <v>12</v>
      </c>
      <c r="E150" s="57" t="s">
        <v>13</v>
      </c>
      <c r="F150" s="26">
        <v>3</v>
      </c>
      <c r="G150" s="23">
        <v>0</v>
      </c>
      <c r="H150" s="25">
        <v>3318</v>
      </c>
      <c r="I150" s="25">
        <v>3428</v>
      </c>
      <c r="J150" s="1"/>
      <c r="K150" s="1"/>
    </row>
    <row r="151" spans="1:11" ht="18.75" customHeight="1">
      <c r="A151" s="70" t="s">
        <v>27</v>
      </c>
      <c r="B151" s="25">
        <v>20</v>
      </c>
      <c r="C151" s="25">
        <v>1</v>
      </c>
      <c r="D151" s="45" t="s">
        <v>14</v>
      </c>
      <c r="E151" s="57" t="s">
        <v>15</v>
      </c>
      <c r="F151" s="26">
        <v>5</v>
      </c>
      <c r="G151" s="23">
        <v>0</v>
      </c>
      <c r="H151" s="25">
        <v>3314</v>
      </c>
      <c r="I151" s="25">
        <v>3375</v>
      </c>
      <c r="J151" s="1">
        <v>3345</v>
      </c>
      <c r="K151" s="1"/>
    </row>
    <row r="152" spans="1:11" ht="18.75" customHeight="1">
      <c r="A152" s="70" t="s">
        <v>27</v>
      </c>
      <c r="B152" s="25">
        <v>18</v>
      </c>
      <c r="C152" s="25">
        <v>1</v>
      </c>
      <c r="D152" s="45" t="s">
        <v>14</v>
      </c>
      <c r="E152" s="57" t="s">
        <v>15</v>
      </c>
      <c r="F152" s="26">
        <v>4</v>
      </c>
      <c r="G152" s="23">
        <v>1</v>
      </c>
      <c r="H152" s="25">
        <v>3152</v>
      </c>
      <c r="I152" s="25">
        <v>3217</v>
      </c>
      <c r="J152" s="1">
        <v>3184</v>
      </c>
      <c r="K152" s="1"/>
    </row>
    <row r="153" spans="1:11" ht="18.75" customHeight="1">
      <c r="A153" s="70" t="s">
        <v>27</v>
      </c>
      <c r="B153" s="25">
        <v>18</v>
      </c>
      <c r="C153" s="25">
        <v>2</v>
      </c>
      <c r="D153" s="45" t="s">
        <v>14</v>
      </c>
      <c r="E153" s="57" t="s">
        <v>15</v>
      </c>
      <c r="F153" s="26">
        <v>3</v>
      </c>
      <c r="G153" s="23">
        <v>1</v>
      </c>
      <c r="H153" s="25">
        <v>2235</v>
      </c>
      <c r="I153" s="25">
        <v>2301</v>
      </c>
      <c r="J153" s="1">
        <v>2257</v>
      </c>
      <c r="K153" s="1"/>
    </row>
    <row r="154" spans="1:11" ht="18.75" customHeight="1">
      <c r="A154" s="70" t="s">
        <v>27</v>
      </c>
      <c r="B154" s="25">
        <v>18</v>
      </c>
      <c r="C154" s="25">
        <v>3</v>
      </c>
      <c r="D154" s="45" t="s">
        <v>12</v>
      </c>
      <c r="E154" s="57" t="s">
        <v>13</v>
      </c>
      <c r="F154" s="26">
        <v>2</v>
      </c>
      <c r="G154" s="23">
        <v>1</v>
      </c>
      <c r="H154" s="25">
        <v>6198</v>
      </c>
      <c r="I154" s="25">
        <v>6264</v>
      </c>
      <c r="J154" s="1"/>
      <c r="K154" s="1"/>
    </row>
    <row r="155" spans="1:11" ht="18.75" customHeight="1">
      <c r="A155" s="70" t="s">
        <v>27</v>
      </c>
      <c r="B155" s="25">
        <v>18</v>
      </c>
      <c r="C155" s="25">
        <v>4</v>
      </c>
      <c r="D155" s="45" t="s">
        <v>14</v>
      </c>
      <c r="E155" s="57" t="s">
        <v>15</v>
      </c>
      <c r="F155" s="26">
        <v>2</v>
      </c>
      <c r="G155" s="23">
        <v>1</v>
      </c>
      <c r="H155" s="25">
        <v>5095</v>
      </c>
      <c r="I155" s="25">
        <v>5161</v>
      </c>
      <c r="J155" s="1">
        <v>5130</v>
      </c>
      <c r="K155" s="1"/>
    </row>
    <row r="156" spans="1:11" ht="18.75" customHeight="1">
      <c r="A156" s="70" t="s">
        <v>27</v>
      </c>
      <c r="B156" s="25">
        <v>18</v>
      </c>
      <c r="C156" s="25">
        <v>5</v>
      </c>
      <c r="D156" s="45" t="s">
        <v>12</v>
      </c>
      <c r="E156" s="57" t="s">
        <v>13</v>
      </c>
      <c r="F156" s="26">
        <v>2</v>
      </c>
      <c r="G156" s="23">
        <v>1</v>
      </c>
      <c r="H156" s="25">
        <v>3279</v>
      </c>
      <c r="I156" s="25">
        <v>3346</v>
      </c>
      <c r="J156" s="1"/>
      <c r="K156" s="1"/>
    </row>
    <row r="157" spans="1:11" ht="18.75" customHeight="1">
      <c r="A157" s="70" t="s">
        <v>27</v>
      </c>
      <c r="B157" s="25">
        <v>18</v>
      </c>
      <c r="C157" s="25">
        <v>6</v>
      </c>
      <c r="D157" s="45" t="s">
        <v>14</v>
      </c>
      <c r="E157" s="57" t="s">
        <v>15</v>
      </c>
      <c r="F157" s="26">
        <v>1</v>
      </c>
      <c r="G157" s="23">
        <v>1</v>
      </c>
      <c r="H157" s="25">
        <v>3119</v>
      </c>
      <c r="I157" s="25">
        <v>3191</v>
      </c>
      <c r="J157" s="1">
        <v>3157</v>
      </c>
      <c r="K157" s="1"/>
    </row>
    <row r="158" spans="1:11" ht="18.75" customHeight="1">
      <c r="A158" s="70" t="s">
        <v>27</v>
      </c>
      <c r="B158" s="25">
        <v>18</v>
      </c>
      <c r="C158" s="25">
        <v>7</v>
      </c>
      <c r="D158" s="45" t="s">
        <v>16</v>
      </c>
      <c r="E158" s="57" t="s">
        <v>15</v>
      </c>
      <c r="F158" s="26">
        <v>1</v>
      </c>
      <c r="G158" s="23">
        <v>1</v>
      </c>
      <c r="H158" s="25">
        <v>2577</v>
      </c>
      <c r="I158" s="25">
        <v>2643</v>
      </c>
      <c r="J158" s="1">
        <v>2613</v>
      </c>
      <c r="K158" s="1"/>
    </row>
    <row r="159" spans="1:11" ht="18.75" customHeight="1">
      <c r="A159" s="70" t="s">
        <v>27</v>
      </c>
      <c r="B159" s="27">
        <v>17.5</v>
      </c>
      <c r="C159" s="25">
        <v>1</v>
      </c>
      <c r="D159" s="45" t="s">
        <v>14</v>
      </c>
      <c r="E159" s="57" t="s">
        <v>15</v>
      </c>
      <c r="F159" s="26">
        <v>1</v>
      </c>
      <c r="G159" s="23">
        <v>0</v>
      </c>
      <c r="H159" s="25">
        <v>2869</v>
      </c>
      <c r="I159" s="25">
        <v>2937</v>
      </c>
      <c r="J159" s="1">
        <v>2904</v>
      </c>
      <c r="K159" s="1"/>
    </row>
    <row r="160" spans="1:11" ht="18.75" customHeight="1">
      <c r="A160" s="70" t="s">
        <v>27</v>
      </c>
      <c r="B160" s="27">
        <v>17.5</v>
      </c>
      <c r="C160" s="25">
        <v>2</v>
      </c>
      <c r="D160" s="45" t="s">
        <v>14</v>
      </c>
      <c r="E160" s="57" t="s">
        <v>15</v>
      </c>
      <c r="F160" s="26">
        <v>1</v>
      </c>
      <c r="G160" s="23">
        <v>0</v>
      </c>
      <c r="H160" s="25">
        <v>3576</v>
      </c>
      <c r="I160" s="25">
        <v>3644</v>
      </c>
      <c r="J160" s="1">
        <v>3613</v>
      </c>
      <c r="K160" s="1"/>
    </row>
    <row r="161" spans="1:11" ht="18.75" customHeight="1">
      <c r="A161" s="70" t="s">
        <v>27</v>
      </c>
      <c r="B161" s="25">
        <v>17</v>
      </c>
      <c r="C161" s="25">
        <v>1</v>
      </c>
      <c r="D161" s="45" t="s">
        <v>12</v>
      </c>
      <c r="E161" s="57" t="s">
        <v>13</v>
      </c>
      <c r="F161" s="26">
        <v>1</v>
      </c>
      <c r="G161" s="23">
        <v>0</v>
      </c>
      <c r="H161" s="25">
        <v>3103</v>
      </c>
      <c r="I161" s="25">
        <v>3175</v>
      </c>
      <c r="J161" s="1"/>
      <c r="K161" s="1"/>
    </row>
    <row r="162" spans="1:11" ht="18.75" customHeight="1">
      <c r="A162" s="70" t="s">
        <v>28</v>
      </c>
      <c r="B162" s="25">
        <v>5</v>
      </c>
      <c r="C162" s="25">
        <v>1</v>
      </c>
      <c r="D162" s="45" t="s">
        <v>13</v>
      </c>
      <c r="E162" s="57" t="s">
        <v>13</v>
      </c>
      <c r="F162" s="26">
        <v>2</v>
      </c>
      <c r="G162" s="23">
        <v>0</v>
      </c>
      <c r="H162" s="25">
        <v>3397</v>
      </c>
      <c r="I162" s="25">
        <v>3607</v>
      </c>
      <c r="J162" s="1"/>
      <c r="K162" s="1"/>
    </row>
    <row r="163" spans="1:11" ht="18.75" customHeight="1">
      <c r="A163" s="70" t="s">
        <v>28</v>
      </c>
      <c r="B163" s="25">
        <v>10</v>
      </c>
      <c r="C163" s="25">
        <v>1</v>
      </c>
      <c r="D163" s="45" t="s">
        <v>13</v>
      </c>
      <c r="E163" s="57" t="s">
        <v>13</v>
      </c>
      <c r="F163" s="26">
        <v>2</v>
      </c>
      <c r="G163" s="23">
        <v>0</v>
      </c>
      <c r="H163" s="25">
        <v>3628</v>
      </c>
      <c r="I163" s="25">
        <v>3739</v>
      </c>
      <c r="J163" s="1"/>
      <c r="K163" s="1"/>
    </row>
    <row r="164" spans="1:11" ht="18.75" customHeight="1">
      <c r="A164" s="70" t="s">
        <v>28</v>
      </c>
      <c r="B164" s="25">
        <v>10</v>
      </c>
      <c r="C164" s="25">
        <v>2</v>
      </c>
      <c r="D164" s="45" t="s">
        <v>13</v>
      </c>
      <c r="E164" s="57" t="s">
        <v>13</v>
      </c>
      <c r="F164" s="26">
        <v>2</v>
      </c>
      <c r="G164" s="23">
        <v>0</v>
      </c>
      <c r="H164" s="25">
        <v>4384</v>
      </c>
      <c r="I164" s="25">
        <v>4495</v>
      </c>
      <c r="J164" s="1"/>
      <c r="K164" s="1"/>
    </row>
    <row r="165" spans="1:11" ht="18.75" customHeight="1">
      <c r="A165" s="70" t="s">
        <v>28</v>
      </c>
      <c r="B165" s="27">
        <v>12.5</v>
      </c>
      <c r="C165" s="25">
        <v>1</v>
      </c>
      <c r="D165" s="45" t="s">
        <v>16</v>
      </c>
      <c r="E165" s="57" t="s">
        <v>15</v>
      </c>
      <c r="F165" s="26">
        <v>2</v>
      </c>
      <c r="G165" s="23">
        <v>1</v>
      </c>
      <c r="H165" s="25">
        <v>3720</v>
      </c>
      <c r="I165" s="25">
        <v>3810</v>
      </c>
      <c r="J165" s="1">
        <v>3779</v>
      </c>
      <c r="K165" s="1"/>
    </row>
    <row r="166" spans="1:11" ht="18.75" customHeight="1">
      <c r="A166" s="70" t="s">
        <v>28</v>
      </c>
      <c r="B166" s="27">
        <v>12.5</v>
      </c>
      <c r="C166" s="25">
        <v>2</v>
      </c>
      <c r="D166" s="45" t="s">
        <v>16</v>
      </c>
      <c r="E166" s="57" t="s">
        <v>15</v>
      </c>
      <c r="F166" s="26">
        <v>2</v>
      </c>
      <c r="G166" s="23">
        <v>1</v>
      </c>
      <c r="H166" s="25">
        <v>3359</v>
      </c>
      <c r="I166" s="25">
        <v>3451</v>
      </c>
      <c r="J166" s="1">
        <v>3397</v>
      </c>
      <c r="K166" s="1"/>
    </row>
    <row r="167" spans="1:11" ht="18.75" customHeight="1">
      <c r="A167" s="70" t="s">
        <v>28</v>
      </c>
      <c r="B167" s="27">
        <v>12.5</v>
      </c>
      <c r="C167" s="25">
        <v>3</v>
      </c>
      <c r="D167" s="45" t="s">
        <v>13</v>
      </c>
      <c r="E167" s="57" t="s">
        <v>13</v>
      </c>
      <c r="F167" s="26">
        <v>2</v>
      </c>
      <c r="G167" s="23">
        <v>1</v>
      </c>
      <c r="H167" s="25">
        <v>2438</v>
      </c>
      <c r="I167" s="25">
        <v>2529</v>
      </c>
      <c r="J167" s="1"/>
      <c r="K167" s="1"/>
    </row>
    <row r="168" spans="1:11" ht="18.75" customHeight="1">
      <c r="A168" s="70" t="s">
        <v>28</v>
      </c>
      <c r="B168" s="27">
        <v>12.5</v>
      </c>
      <c r="C168" s="25">
        <v>4</v>
      </c>
      <c r="D168" s="45" t="s">
        <v>13</v>
      </c>
      <c r="E168" s="57" t="s">
        <v>13</v>
      </c>
      <c r="F168" s="26">
        <v>2</v>
      </c>
      <c r="G168" s="23">
        <v>1</v>
      </c>
      <c r="H168" s="25">
        <v>2530</v>
      </c>
      <c r="I168" s="25">
        <v>2621</v>
      </c>
      <c r="J168" s="1"/>
      <c r="K168" s="1"/>
    </row>
    <row r="169" spans="1:11" ht="18.75" customHeight="1">
      <c r="A169" s="70" t="s">
        <v>28</v>
      </c>
      <c r="B169" s="27">
        <v>12.5</v>
      </c>
      <c r="C169" s="25">
        <v>5</v>
      </c>
      <c r="D169" s="45" t="s">
        <v>16</v>
      </c>
      <c r="E169" s="57" t="s">
        <v>15</v>
      </c>
      <c r="F169" s="26">
        <v>2</v>
      </c>
      <c r="G169" s="23">
        <v>1</v>
      </c>
      <c r="H169" s="25">
        <v>2647</v>
      </c>
      <c r="I169" s="25">
        <v>2737</v>
      </c>
      <c r="J169" s="1">
        <v>2687</v>
      </c>
      <c r="K169" s="1"/>
    </row>
    <row r="170" spans="1:11" ht="18.75" customHeight="1">
      <c r="A170" s="70" t="s">
        <v>28</v>
      </c>
      <c r="B170" s="27">
        <v>12.5</v>
      </c>
      <c r="C170" s="25">
        <v>6</v>
      </c>
      <c r="D170" s="45" t="s">
        <v>16</v>
      </c>
      <c r="E170" s="57" t="s">
        <v>15</v>
      </c>
      <c r="F170" s="26">
        <v>2</v>
      </c>
      <c r="G170" s="23">
        <v>1</v>
      </c>
      <c r="H170" s="25">
        <v>3285</v>
      </c>
      <c r="I170" s="25">
        <v>3375</v>
      </c>
      <c r="J170" s="1">
        <v>3324</v>
      </c>
      <c r="K170" s="1"/>
    </row>
    <row r="171" spans="1:11" ht="18.75" customHeight="1">
      <c r="A171" s="70" t="s">
        <v>28</v>
      </c>
      <c r="B171" s="25">
        <v>12</v>
      </c>
      <c r="C171" s="25">
        <v>1</v>
      </c>
      <c r="D171" s="45" t="s">
        <v>16</v>
      </c>
      <c r="E171" s="57" t="s">
        <v>15</v>
      </c>
      <c r="F171" s="26">
        <v>2</v>
      </c>
      <c r="G171" s="23">
        <v>0</v>
      </c>
      <c r="H171" s="25">
        <v>2234</v>
      </c>
      <c r="I171" s="25">
        <v>2324</v>
      </c>
      <c r="J171" s="1">
        <v>2275</v>
      </c>
      <c r="K171" s="1"/>
    </row>
    <row r="172" spans="1:11" ht="18.75" customHeight="1">
      <c r="A172" s="70" t="s">
        <v>28</v>
      </c>
      <c r="B172" s="25">
        <v>11</v>
      </c>
      <c r="C172" s="25">
        <v>1</v>
      </c>
      <c r="D172" s="45" t="s">
        <v>13</v>
      </c>
      <c r="E172" s="57" t="s">
        <v>13</v>
      </c>
      <c r="F172" s="26">
        <v>2</v>
      </c>
      <c r="G172" s="23">
        <v>0</v>
      </c>
      <c r="H172" s="25">
        <v>2444</v>
      </c>
      <c r="I172" s="25">
        <v>2544</v>
      </c>
      <c r="J172" s="1"/>
      <c r="K172" s="1"/>
    </row>
    <row r="173" spans="1:11" ht="18.75" customHeight="1">
      <c r="A173" s="70" t="s">
        <v>28</v>
      </c>
      <c r="B173" s="27">
        <v>11.5</v>
      </c>
      <c r="C173" s="25">
        <v>1</v>
      </c>
      <c r="D173" s="45" t="s">
        <v>13</v>
      </c>
      <c r="E173" s="57" t="s">
        <v>13</v>
      </c>
      <c r="F173" s="26">
        <v>2</v>
      </c>
      <c r="G173" s="23">
        <v>0</v>
      </c>
      <c r="H173" s="25">
        <v>2183</v>
      </c>
      <c r="I173" s="25">
        <v>2280</v>
      </c>
      <c r="J173" s="1"/>
      <c r="K173" s="1"/>
    </row>
    <row r="174" spans="1:11" ht="18.75" customHeight="1">
      <c r="A174" s="70" t="s">
        <v>28</v>
      </c>
      <c r="B174" s="25">
        <v>12</v>
      </c>
      <c r="C174" s="25">
        <v>2</v>
      </c>
      <c r="D174" s="45" t="s">
        <v>13</v>
      </c>
      <c r="E174" s="57" t="s">
        <v>13</v>
      </c>
      <c r="F174" s="26">
        <v>2</v>
      </c>
      <c r="G174" s="23">
        <v>0</v>
      </c>
      <c r="H174" s="25">
        <v>2619</v>
      </c>
      <c r="I174" s="25">
        <v>2713</v>
      </c>
      <c r="J174" s="1"/>
      <c r="K174" s="1"/>
    </row>
    <row r="175" spans="1:11" ht="18.75" customHeight="1">
      <c r="A175" s="70" t="s">
        <v>28</v>
      </c>
      <c r="B175" s="27">
        <v>12.5</v>
      </c>
      <c r="C175" s="25">
        <v>7</v>
      </c>
      <c r="D175" s="45" t="s">
        <v>12</v>
      </c>
      <c r="E175" s="57" t="s">
        <v>13</v>
      </c>
      <c r="F175" s="26">
        <v>2</v>
      </c>
      <c r="G175" s="23">
        <v>1</v>
      </c>
      <c r="H175" s="25">
        <v>3395</v>
      </c>
      <c r="I175" s="25">
        <v>3485</v>
      </c>
      <c r="J175" s="1"/>
      <c r="K175" s="1"/>
    </row>
    <row r="176" spans="1:11" ht="18.75" customHeight="1">
      <c r="A176" s="70" t="s">
        <v>28</v>
      </c>
      <c r="B176" s="27">
        <v>12.5</v>
      </c>
      <c r="C176" s="25">
        <v>8</v>
      </c>
      <c r="D176" s="45" t="s">
        <v>14</v>
      </c>
      <c r="E176" s="57" t="s">
        <v>15</v>
      </c>
      <c r="F176" s="26">
        <v>2</v>
      </c>
      <c r="G176" s="23">
        <v>1</v>
      </c>
      <c r="H176" s="25">
        <v>4697</v>
      </c>
      <c r="I176" s="25">
        <v>4788</v>
      </c>
      <c r="J176" s="1">
        <v>4754</v>
      </c>
      <c r="K176" s="1"/>
    </row>
    <row r="177" spans="1:11" ht="18.75" customHeight="1">
      <c r="A177" s="70" t="s">
        <v>29</v>
      </c>
      <c r="B177" s="25">
        <v>20</v>
      </c>
      <c r="C177" s="25">
        <v>1</v>
      </c>
      <c r="D177" s="45" t="s">
        <v>16</v>
      </c>
      <c r="E177" s="57" t="s">
        <v>15</v>
      </c>
      <c r="F177" s="26">
        <v>10</v>
      </c>
      <c r="G177" s="23">
        <v>1</v>
      </c>
      <c r="H177" s="25">
        <v>6558</v>
      </c>
      <c r="I177" s="25">
        <v>6617</v>
      </c>
      <c r="J177" s="1">
        <v>6592</v>
      </c>
      <c r="K177" s="1"/>
    </row>
    <row r="178" spans="1:11" ht="18.75" customHeight="1">
      <c r="A178" s="70" t="s">
        <v>29</v>
      </c>
      <c r="B178" s="25">
        <v>10</v>
      </c>
      <c r="C178" s="25">
        <v>1</v>
      </c>
      <c r="D178" s="45" t="s">
        <v>16</v>
      </c>
      <c r="E178" s="57" t="s">
        <v>15</v>
      </c>
      <c r="F178" s="26">
        <v>5</v>
      </c>
      <c r="G178" s="23">
        <v>0</v>
      </c>
      <c r="H178" s="25">
        <v>10702</v>
      </c>
      <c r="I178" s="25">
        <v>10812</v>
      </c>
      <c r="J178" s="1">
        <v>10724</v>
      </c>
      <c r="K178" s="1"/>
    </row>
    <row r="179" spans="1:11" ht="18.75" customHeight="1">
      <c r="A179" s="70" t="s">
        <v>29</v>
      </c>
      <c r="B179" s="25">
        <v>8</v>
      </c>
      <c r="C179" s="25">
        <v>1</v>
      </c>
      <c r="D179" s="45" t="s">
        <v>12</v>
      </c>
      <c r="E179" s="57" t="s">
        <v>13</v>
      </c>
      <c r="F179" s="26">
        <v>2</v>
      </c>
      <c r="G179" s="23">
        <v>0</v>
      </c>
      <c r="H179" s="25">
        <v>4630</v>
      </c>
      <c r="I179" s="25">
        <v>4763</v>
      </c>
      <c r="J179" s="1"/>
      <c r="K179" s="1"/>
    </row>
    <row r="180" spans="1:11" ht="18.75" customHeight="1">
      <c r="A180" s="70" t="s">
        <v>29</v>
      </c>
      <c r="B180" s="25">
        <v>10</v>
      </c>
      <c r="C180" s="25">
        <v>2</v>
      </c>
      <c r="D180" s="45" t="s">
        <v>13</v>
      </c>
      <c r="E180" s="57" t="s">
        <v>13</v>
      </c>
      <c r="F180" s="26">
        <v>1</v>
      </c>
      <c r="G180" s="23">
        <v>0</v>
      </c>
      <c r="H180" s="25">
        <v>4924</v>
      </c>
      <c r="I180" s="25">
        <v>5033</v>
      </c>
      <c r="J180" s="1"/>
      <c r="K180" s="1"/>
    </row>
    <row r="181" spans="1:11" ht="18.75" customHeight="1">
      <c r="A181" s="70" t="s">
        <v>29</v>
      </c>
      <c r="B181" s="25">
        <v>15</v>
      </c>
      <c r="C181" s="25">
        <v>1</v>
      </c>
      <c r="D181" s="45" t="s">
        <v>13</v>
      </c>
      <c r="E181" s="57" t="s">
        <v>13</v>
      </c>
      <c r="F181" s="26">
        <v>1</v>
      </c>
      <c r="G181" s="23">
        <v>0</v>
      </c>
      <c r="H181" s="25">
        <v>4289</v>
      </c>
      <c r="I181" s="25">
        <v>4367</v>
      </c>
      <c r="J181" s="1"/>
      <c r="K181" s="1"/>
    </row>
    <row r="182" spans="1:11" ht="18.75" customHeight="1">
      <c r="A182" s="70" t="s">
        <v>29</v>
      </c>
      <c r="B182" s="25">
        <v>18</v>
      </c>
      <c r="C182" s="25">
        <v>1</v>
      </c>
      <c r="D182" s="45" t="s">
        <v>12</v>
      </c>
      <c r="E182" s="57" t="s">
        <v>13</v>
      </c>
      <c r="F182" s="26">
        <v>2</v>
      </c>
      <c r="G182" s="23">
        <v>0</v>
      </c>
      <c r="H182" s="25">
        <v>3910</v>
      </c>
      <c r="I182" s="25">
        <v>3977</v>
      </c>
      <c r="J182" s="1"/>
      <c r="K182" s="1"/>
    </row>
    <row r="183" spans="1:11" ht="18.75" customHeight="1">
      <c r="A183" s="70" t="s">
        <v>29</v>
      </c>
      <c r="B183" s="25">
        <v>20</v>
      </c>
      <c r="C183" s="25">
        <v>2</v>
      </c>
      <c r="D183" s="45" t="s">
        <v>14</v>
      </c>
      <c r="E183" s="57" t="s">
        <v>15</v>
      </c>
      <c r="F183" s="26">
        <v>2</v>
      </c>
      <c r="G183" s="23">
        <v>1</v>
      </c>
      <c r="H183" s="25">
        <v>3449</v>
      </c>
      <c r="I183" s="25">
        <v>3510</v>
      </c>
      <c r="J183" s="1">
        <v>3485</v>
      </c>
      <c r="K183" s="1"/>
    </row>
    <row r="184" spans="1:11" ht="18.75" customHeight="1">
      <c r="A184" s="70" t="s">
        <v>29</v>
      </c>
      <c r="B184" s="25">
        <v>20</v>
      </c>
      <c r="C184" s="25">
        <v>3</v>
      </c>
      <c r="D184" s="45" t="s">
        <v>14</v>
      </c>
      <c r="E184" s="57" t="s">
        <v>15</v>
      </c>
      <c r="F184" s="26">
        <v>2</v>
      </c>
      <c r="G184" s="23">
        <v>1</v>
      </c>
      <c r="H184" s="25">
        <v>2895</v>
      </c>
      <c r="I184" s="25">
        <v>2956</v>
      </c>
      <c r="J184" s="1">
        <v>2929</v>
      </c>
      <c r="K184" s="1"/>
    </row>
    <row r="185" spans="1:11" ht="18.75" customHeight="1">
      <c r="A185" s="70" t="s">
        <v>29</v>
      </c>
      <c r="B185" s="25">
        <v>20</v>
      </c>
      <c r="C185" s="25">
        <v>4</v>
      </c>
      <c r="D185" s="45" t="s">
        <v>14</v>
      </c>
      <c r="E185" s="57" t="s">
        <v>15</v>
      </c>
      <c r="F185" s="26">
        <v>5</v>
      </c>
      <c r="G185" s="23">
        <v>1</v>
      </c>
      <c r="H185" s="25">
        <v>8736</v>
      </c>
      <c r="I185" s="25">
        <v>8795</v>
      </c>
      <c r="J185" s="1">
        <v>8766</v>
      </c>
      <c r="K185" s="1"/>
    </row>
    <row r="186" spans="1:11" ht="18.75" customHeight="1">
      <c r="A186" s="70" t="s">
        <v>29</v>
      </c>
      <c r="B186" s="25">
        <v>20</v>
      </c>
      <c r="C186" s="25">
        <v>5</v>
      </c>
      <c r="D186" s="45" t="s">
        <v>16</v>
      </c>
      <c r="E186" s="57" t="s">
        <v>15</v>
      </c>
      <c r="F186" s="26">
        <v>5</v>
      </c>
      <c r="G186" s="23">
        <v>1</v>
      </c>
      <c r="H186" s="25">
        <v>3120</v>
      </c>
      <c r="I186" s="25">
        <v>3179</v>
      </c>
      <c r="J186" s="1">
        <v>3147</v>
      </c>
      <c r="K186" s="1"/>
    </row>
    <row r="187" spans="1:11" ht="18.75" customHeight="1">
      <c r="A187" s="70" t="s">
        <v>29</v>
      </c>
      <c r="B187" s="25">
        <v>20</v>
      </c>
      <c r="C187" s="25">
        <v>6</v>
      </c>
      <c r="D187" s="45" t="s">
        <v>13</v>
      </c>
      <c r="E187" s="57" t="s">
        <v>13</v>
      </c>
      <c r="F187" s="26">
        <v>2</v>
      </c>
      <c r="G187" s="23">
        <v>1</v>
      </c>
      <c r="H187" s="25">
        <v>3478</v>
      </c>
      <c r="I187" s="25">
        <v>3538</v>
      </c>
      <c r="J187" s="1"/>
      <c r="K187" s="1"/>
    </row>
    <row r="188" spans="1:11" ht="18.75" customHeight="1">
      <c r="A188" s="70" t="s">
        <v>29</v>
      </c>
      <c r="B188" s="25">
        <v>20</v>
      </c>
      <c r="C188" s="25">
        <v>7</v>
      </c>
      <c r="D188" s="45" t="s">
        <v>13</v>
      </c>
      <c r="E188" s="57" t="s">
        <v>13</v>
      </c>
      <c r="F188" s="26">
        <v>2</v>
      </c>
      <c r="G188" s="23">
        <v>1</v>
      </c>
      <c r="H188" s="25">
        <v>2844</v>
      </c>
      <c r="I188" s="25">
        <v>2906</v>
      </c>
      <c r="J188" s="1"/>
      <c r="K188" s="1"/>
    </row>
    <row r="189" spans="1:11" ht="18.75" customHeight="1">
      <c r="A189" s="70" t="s">
        <v>29</v>
      </c>
      <c r="B189" s="25">
        <v>20</v>
      </c>
      <c r="C189" s="25">
        <v>8</v>
      </c>
      <c r="D189" s="45" t="s">
        <v>13</v>
      </c>
      <c r="E189" s="57" t="s">
        <v>13</v>
      </c>
      <c r="F189" s="26">
        <v>2</v>
      </c>
      <c r="G189" s="23">
        <v>1</v>
      </c>
      <c r="H189" s="25">
        <v>4919</v>
      </c>
      <c r="I189" s="25">
        <v>4979</v>
      </c>
      <c r="J189" s="1"/>
      <c r="K189" s="1"/>
    </row>
    <row r="190" spans="1:11" ht="18.75" customHeight="1">
      <c r="A190" s="70" t="s">
        <v>29</v>
      </c>
      <c r="B190" s="25">
        <v>25</v>
      </c>
      <c r="C190" s="25">
        <v>1</v>
      </c>
      <c r="D190" s="45" t="s">
        <v>14</v>
      </c>
      <c r="E190" s="57" t="s">
        <v>15</v>
      </c>
      <c r="F190" s="26">
        <v>5</v>
      </c>
      <c r="G190" s="23">
        <v>0</v>
      </c>
      <c r="H190" s="25">
        <v>3857</v>
      </c>
      <c r="I190" s="25">
        <v>3908</v>
      </c>
      <c r="J190" s="1">
        <v>3890</v>
      </c>
      <c r="K190" s="1"/>
    </row>
    <row r="191" spans="1:11" ht="18.75" customHeight="1">
      <c r="A191" s="70" t="s">
        <v>29</v>
      </c>
      <c r="B191" s="25">
        <v>25</v>
      </c>
      <c r="C191" s="25">
        <v>2</v>
      </c>
      <c r="D191" s="45" t="s">
        <v>12</v>
      </c>
      <c r="E191" s="57" t="s">
        <v>13</v>
      </c>
      <c r="F191" s="26">
        <v>2</v>
      </c>
      <c r="G191" s="23">
        <v>0</v>
      </c>
      <c r="H191" s="25">
        <v>4371</v>
      </c>
      <c r="I191" s="25">
        <v>4423</v>
      </c>
      <c r="J191" s="1"/>
      <c r="K191" s="1"/>
    </row>
    <row r="192" spans="1:11" ht="18.75" customHeight="1">
      <c r="A192" s="70" t="s">
        <v>29</v>
      </c>
      <c r="B192" s="25">
        <v>30</v>
      </c>
      <c r="C192" s="25">
        <v>1</v>
      </c>
      <c r="D192" s="45" t="s">
        <v>16</v>
      </c>
      <c r="E192" s="57" t="s">
        <v>15</v>
      </c>
      <c r="F192" s="26">
        <v>5</v>
      </c>
      <c r="G192" s="23">
        <v>0</v>
      </c>
      <c r="H192" s="25">
        <v>3588</v>
      </c>
      <c r="I192" s="25">
        <v>3630</v>
      </c>
      <c r="J192" s="1">
        <v>3606</v>
      </c>
      <c r="K192" s="1"/>
    </row>
    <row r="193" spans="1:10" ht="18.75" customHeight="1">
      <c r="A193" s="71" t="s">
        <v>30</v>
      </c>
      <c r="B193" s="28">
        <v>15</v>
      </c>
      <c r="C193" s="28">
        <v>1</v>
      </c>
      <c r="D193" s="30" t="s">
        <v>12</v>
      </c>
      <c r="E193" s="57" t="s">
        <v>13</v>
      </c>
      <c r="F193" s="29">
        <v>3</v>
      </c>
      <c r="G193" s="23">
        <v>0</v>
      </c>
      <c r="H193" s="28">
        <v>4880</v>
      </c>
      <c r="I193" s="28">
        <v>4957</v>
      </c>
    </row>
    <row r="194" spans="1:10" ht="18.75" customHeight="1">
      <c r="A194" s="71" t="s">
        <v>30</v>
      </c>
      <c r="B194" s="28">
        <v>20</v>
      </c>
      <c r="C194" s="28">
        <v>1</v>
      </c>
      <c r="D194" s="30" t="s">
        <v>12</v>
      </c>
      <c r="E194" s="57" t="s">
        <v>13</v>
      </c>
      <c r="F194" s="29">
        <v>3</v>
      </c>
      <c r="G194" s="23">
        <v>0</v>
      </c>
      <c r="H194" s="28">
        <v>4789</v>
      </c>
      <c r="I194" s="28">
        <v>4850</v>
      </c>
    </row>
    <row r="195" spans="1:10" ht="18.75" customHeight="1">
      <c r="A195" s="71" t="s">
        <v>30</v>
      </c>
      <c r="B195" s="28">
        <v>30</v>
      </c>
      <c r="C195" s="28">
        <v>1</v>
      </c>
      <c r="D195" s="30" t="s">
        <v>12</v>
      </c>
      <c r="E195" s="57" t="s">
        <v>13</v>
      </c>
      <c r="F195" s="29">
        <v>4</v>
      </c>
      <c r="G195" s="23">
        <v>0</v>
      </c>
      <c r="H195" s="28">
        <v>2488</v>
      </c>
      <c r="I195" s="28">
        <v>2533</v>
      </c>
    </row>
    <row r="196" spans="1:10" ht="18.75" customHeight="1">
      <c r="A196" s="71" t="s">
        <v>30</v>
      </c>
      <c r="B196" s="28">
        <v>40</v>
      </c>
      <c r="C196" s="28">
        <v>1</v>
      </c>
      <c r="D196" s="30" t="s">
        <v>12</v>
      </c>
      <c r="E196" s="57" t="s">
        <v>13</v>
      </c>
      <c r="F196" s="29">
        <v>6</v>
      </c>
      <c r="G196" s="23">
        <v>0</v>
      </c>
      <c r="H196" s="28">
        <v>5965</v>
      </c>
      <c r="I196" s="28">
        <v>6001</v>
      </c>
    </row>
    <row r="197" spans="1:10" ht="18.75" customHeight="1">
      <c r="A197" s="71" t="s">
        <v>30</v>
      </c>
      <c r="B197" s="28">
        <v>55</v>
      </c>
      <c r="C197" s="28">
        <v>1</v>
      </c>
      <c r="D197" s="30" t="s">
        <v>14</v>
      </c>
      <c r="E197" s="57" t="s">
        <v>15</v>
      </c>
      <c r="F197" s="29">
        <v>7</v>
      </c>
      <c r="G197" s="23">
        <v>0</v>
      </c>
      <c r="H197" s="28">
        <v>3836</v>
      </c>
      <c r="I197" s="28">
        <v>3866</v>
      </c>
      <c r="J197">
        <v>3856</v>
      </c>
    </row>
    <row r="198" spans="1:10" ht="18.75" customHeight="1">
      <c r="A198" s="71" t="s">
        <v>30</v>
      </c>
      <c r="B198" s="28">
        <v>50</v>
      </c>
      <c r="C198" s="28">
        <v>1</v>
      </c>
      <c r="D198" s="30" t="s">
        <v>12</v>
      </c>
      <c r="E198" s="57" t="s">
        <v>13</v>
      </c>
      <c r="F198" s="29">
        <v>6</v>
      </c>
      <c r="G198" s="23">
        <v>0</v>
      </c>
      <c r="H198" s="28">
        <v>2853</v>
      </c>
      <c r="I198" s="28">
        <v>2884</v>
      </c>
    </row>
    <row r="199" spans="1:10" ht="18.75" customHeight="1">
      <c r="A199" s="71" t="s">
        <v>30</v>
      </c>
      <c r="B199" s="28">
        <v>55</v>
      </c>
      <c r="C199" s="28">
        <v>2</v>
      </c>
      <c r="D199" s="30" t="s">
        <v>12</v>
      </c>
      <c r="E199" s="57" t="s">
        <v>13</v>
      </c>
      <c r="F199" s="29">
        <v>7</v>
      </c>
      <c r="G199" s="23">
        <v>0</v>
      </c>
      <c r="H199" s="28">
        <v>5663</v>
      </c>
      <c r="I199" s="28">
        <v>5692</v>
      </c>
    </row>
    <row r="200" spans="1:10" ht="18.75" customHeight="1">
      <c r="A200" s="71" t="s">
        <v>30</v>
      </c>
      <c r="B200" s="28">
        <v>60</v>
      </c>
      <c r="C200" s="28">
        <v>1</v>
      </c>
      <c r="D200" s="30" t="s">
        <v>12</v>
      </c>
      <c r="E200" s="57" t="s">
        <v>13</v>
      </c>
      <c r="F200" s="29">
        <v>6</v>
      </c>
      <c r="G200" s="23">
        <v>0</v>
      </c>
      <c r="H200" s="28">
        <v>5959</v>
      </c>
      <c r="I200" s="28">
        <v>5990</v>
      </c>
    </row>
    <row r="201" spans="1:10" ht="18.75" customHeight="1">
      <c r="A201" s="71" t="s">
        <v>30</v>
      </c>
      <c r="B201" s="28">
        <v>70</v>
      </c>
      <c r="C201" s="28">
        <v>1</v>
      </c>
      <c r="D201" s="30" t="s">
        <v>12</v>
      </c>
      <c r="E201" s="57" t="s">
        <v>13</v>
      </c>
      <c r="F201" s="29">
        <v>7</v>
      </c>
      <c r="G201" s="23">
        <v>0</v>
      </c>
      <c r="H201" s="28">
        <v>1547</v>
      </c>
      <c r="I201" s="28">
        <v>1577</v>
      </c>
    </row>
    <row r="202" spans="1:10" ht="18.75" customHeight="1">
      <c r="A202" s="71" t="s">
        <v>30</v>
      </c>
      <c r="B202" s="28">
        <v>80</v>
      </c>
      <c r="C202" s="28">
        <v>1</v>
      </c>
      <c r="D202" s="30" t="s">
        <v>14</v>
      </c>
      <c r="E202" s="57" t="s">
        <v>15</v>
      </c>
      <c r="F202" s="29">
        <v>8</v>
      </c>
      <c r="G202" s="23">
        <v>0</v>
      </c>
      <c r="H202" s="28">
        <v>3270</v>
      </c>
      <c r="I202" s="28">
        <v>3295</v>
      </c>
      <c r="J202">
        <v>3288</v>
      </c>
    </row>
    <row r="203" spans="1:10" ht="18.75" customHeight="1">
      <c r="A203" s="71" t="s">
        <v>30</v>
      </c>
      <c r="B203" s="28">
        <v>80</v>
      </c>
      <c r="C203" s="28">
        <v>2</v>
      </c>
      <c r="D203" s="30" t="s">
        <v>12</v>
      </c>
      <c r="E203" s="57" t="s">
        <v>13</v>
      </c>
      <c r="F203" s="29">
        <v>7</v>
      </c>
      <c r="G203" s="23">
        <v>0</v>
      </c>
      <c r="H203" s="28">
        <v>4580</v>
      </c>
      <c r="I203" s="28">
        <v>4604</v>
      </c>
    </row>
    <row r="204" spans="1:10" ht="18.75" customHeight="1">
      <c r="A204" s="71" t="s">
        <v>30</v>
      </c>
      <c r="B204" s="28">
        <v>80</v>
      </c>
      <c r="C204" s="28">
        <v>3</v>
      </c>
      <c r="D204" s="30" t="s">
        <v>12</v>
      </c>
      <c r="E204" s="57" t="s">
        <v>13</v>
      </c>
      <c r="F204" s="29">
        <v>7</v>
      </c>
      <c r="G204" s="23">
        <v>0</v>
      </c>
      <c r="H204" s="28">
        <v>4354</v>
      </c>
      <c r="I204" s="28">
        <v>4372</v>
      </c>
    </row>
    <row r="205" spans="1:10" ht="18.75" customHeight="1">
      <c r="A205" s="71" t="s">
        <v>30</v>
      </c>
      <c r="B205" s="28">
        <v>90</v>
      </c>
      <c r="C205" s="28">
        <v>1</v>
      </c>
      <c r="D205" s="30" t="s">
        <v>12</v>
      </c>
      <c r="E205" s="57" t="s">
        <v>13</v>
      </c>
      <c r="F205" s="29">
        <v>8</v>
      </c>
      <c r="G205" s="23">
        <v>0</v>
      </c>
      <c r="H205" s="28">
        <v>3340</v>
      </c>
      <c r="I205" s="28">
        <v>3363</v>
      </c>
    </row>
    <row r="206" spans="1:10" ht="18.75" customHeight="1">
      <c r="A206" s="71" t="s">
        <v>30</v>
      </c>
      <c r="B206" s="28">
        <v>100</v>
      </c>
      <c r="C206" s="28">
        <v>1</v>
      </c>
      <c r="D206" s="30" t="s">
        <v>14</v>
      </c>
      <c r="E206" s="57" t="s">
        <v>15</v>
      </c>
      <c r="F206" s="29">
        <v>8</v>
      </c>
      <c r="G206" s="23">
        <v>0</v>
      </c>
      <c r="H206" s="28">
        <v>3391</v>
      </c>
      <c r="I206" s="28">
        <v>3412</v>
      </c>
      <c r="J206">
        <v>3409</v>
      </c>
    </row>
    <row r="207" spans="1:10" ht="18.75" customHeight="1">
      <c r="A207" s="71" t="s">
        <v>30</v>
      </c>
      <c r="B207" s="28">
        <v>105</v>
      </c>
      <c r="C207" s="28">
        <v>1</v>
      </c>
      <c r="D207" s="30" t="s">
        <v>12</v>
      </c>
      <c r="E207" s="57" t="s">
        <v>13</v>
      </c>
      <c r="F207" s="29">
        <v>7</v>
      </c>
      <c r="G207" s="23">
        <v>0</v>
      </c>
      <c r="H207" s="28">
        <v>3996</v>
      </c>
      <c r="I207" s="28">
        <v>4019</v>
      </c>
    </row>
    <row r="208" spans="1:10" ht="18.75" customHeight="1">
      <c r="A208" s="71" t="s">
        <v>30</v>
      </c>
      <c r="B208" s="28">
        <v>115</v>
      </c>
      <c r="C208" s="28">
        <v>1</v>
      </c>
      <c r="D208" s="30" t="s">
        <v>16</v>
      </c>
      <c r="E208" s="57" t="s">
        <v>15</v>
      </c>
      <c r="F208" s="29">
        <v>9</v>
      </c>
      <c r="G208" s="23">
        <v>0</v>
      </c>
      <c r="H208" s="28">
        <v>2691</v>
      </c>
      <c r="I208" s="28">
        <v>2711</v>
      </c>
      <c r="J208">
        <v>2707</v>
      </c>
    </row>
    <row r="209" spans="1:10" ht="18.75" customHeight="1">
      <c r="A209" s="71" t="s">
        <v>30</v>
      </c>
      <c r="B209" s="31">
        <v>120</v>
      </c>
      <c r="C209" s="31">
        <v>1</v>
      </c>
      <c r="D209" s="30" t="s">
        <v>12</v>
      </c>
      <c r="E209" s="57" t="s">
        <v>13</v>
      </c>
      <c r="F209" s="29">
        <v>7</v>
      </c>
      <c r="G209" s="23">
        <v>0</v>
      </c>
      <c r="H209" s="31">
        <v>3536</v>
      </c>
      <c r="I209" s="31">
        <v>3656</v>
      </c>
    </row>
    <row r="210" spans="1:10" ht="18.75" customHeight="1">
      <c r="A210" s="71" t="s">
        <v>30</v>
      </c>
      <c r="B210" s="31">
        <v>140</v>
      </c>
      <c r="C210" s="31">
        <v>1</v>
      </c>
      <c r="D210" s="30" t="s">
        <v>12</v>
      </c>
      <c r="E210" s="57" t="s">
        <v>13</v>
      </c>
      <c r="F210" s="29">
        <v>8</v>
      </c>
      <c r="G210" s="23">
        <v>0</v>
      </c>
      <c r="H210" s="31">
        <v>5697</v>
      </c>
      <c r="I210" s="31">
        <v>5716</v>
      </c>
    </row>
    <row r="211" spans="1:10" ht="18.75" customHeight="1">
      <c r="A211" s="71" t="s">
        <v>30</v>
      </c>
      <c r="B211" s="31">
        <v>160</v>
      </c>
      <c r="C211" s="31">
        <v>1</v>
      </c>
      <c r="D211" s="30" t="s">
        <v>14</v>
      </c>
      <c r="E211" s="57" t="s">
        <v>15</v>
      </c>
      <c r="F211" s="29">
        <v>8</v>
      </c>
      <c r="G211" s="23">
        <v>0</v>
      </c>
      <c r="H211" s="31">
        <v>4655</v>
      </c>
      <c r="I211" s="31">
        <v>4675</v>
      </c>
      <c r="J211">
        <v>4671</v>
      </c>
    </row>
    <row r="212" spans="1:10" ht="18.75" customHeight="1">
      <c r="A212" s="71" t="s">
        <v>30</v>
      </c>
      <c r="B212" s="31">
        <v>170</v>
      </c>
      <c r="C212" s="31">
        <v>1</v>
      </c>
      <c r="D212" s="30" t="s">
        <v>14</v>
      </c>
      <c r="E212" s="57" t="s">
        <v>15</v>
      </c>
      <c r="F212" s="29">
        <v>9</v>
      </c>
      <c r="G212" s="23">
        <v>0</v>
      </c>
      <c r="H212" s="31">
        <v>5345</v>
      </c>
      <c r="I212" s="31">
        <v>5364</v>
      </c>
      <c r="J212">
        <v>5361</v>
      </c>
    </row>
    <row r="213" spans="1:10" ht="18.75" customHeight="1">
      <c r="A213" s="71" t="s">
        <v>30</v>
      </c>
      <c r="B213" s="31">
        <v>165</v>
      </c>
      <c r="C213" s="31">
        <v>1</v>
      </c>
      <c r="D213" s="30" t="s">
        <v>14</v>
      </c>
      <c r="E213" s="57" t="s">
        <v>15</v>
      </c>
      <c r="F213" s="29">
        <v>9</v>
      </c>
      <c r="G213" s="23">
        <v>0</v>
      </c>
      <c r="H213" s="31">
        <v>7023</v>
      </c>
      <c r="I213" s="31">
        <v>7045</v>
      </c>
      <c r="J213">
        <v>7039</v>
      </c>
    </row>
    <row r="214" spans="1:10" ht="18.75" customHeight="1">
      <c r="A214" s="71" t="s">
        <v>30</v>
      </c>
      <c r="B214" s="31">
        <v>160</v>
      </c>
      <c r="C214" s="31">
        <v>2</v>
      </c>
      <c r="D214" s="30" t="s">
        <v>14</v>
      </c>
      <c r="E214" s="57" t="s">
        <v>15</v>
      </c>
      <c r="F214" s="29">
        <v>7</v>
      </c>
      <c r="G214" s="23">
        <v>0</v>
      </c>
      <c r="H214" s="31">
        <v>6718</v>
      </c>
      <c r="I214" s="31">
        <v>6739</v>
      </c>
      <c r="J214">
        <v>6733</v>
      </c>
    </row>
    <row r="215" spans="1:10" ht="18.75" customHeight="1">
      <c r="A215" s="71" t="s">
        <v>30</v>
      </c>
      <c r="B215" s="31">
        <v>155</v>
      </c>
      <c r="C215" s="31">
        <v>1</v>
      </c>
      <c r="D215" s="30" t="s">
        <v>16</v>
      </c>
      <c r="E215" s="57" t="s">
        <v>15</v>
      </c>
      <c r="F215" s="29">
        <v>7</v>
      </c>
      <c r="G215" s="23">
        <v>0</v>
      </c>
      <c r="H215" s="31">
        <v>4738</v>
      </c>
      <c r="I215" s="31">
        <v>4758</v>
      </c>
      <c r="J215">
        <v>4765</v>
      </c>
    </row>
    <row r="216" spans="1:10" ht="18.75" customHeight="1">
      <c r="A216" s="71" t="s">
        <v>30</v>
      </c>
      <c r="B216" s="31">
        <v>150</v>
      </c>
      <c r="C216" s="31">
        <v>1</v>
      </c>
      <c r="D216" s="30" t="s">
        <v>16</v>
      </c>
      <c r="E216" s="57" t="s">
        <v>15</v>
      </c>
      <c r="F216" s="29">
        <v>7</v>
      </c>
      <c r="G216" s="23">
        <v>0</v>
      </c>
      <c r="H216" s="31">
        <v>3313</v>
      </c>
      <c r="I216" s="31">
        <v>3333</v>
      </c>
      <c r="J216">
        <v>3330</v>
      </c>
    </row>
    <row r="217" spans="1:10" ht="18.75" customHeight="1">
      <c r="A217" s="71" t="s">
        <v>30</v>
      </c>
      <c r="B217" s="31">
        <v>145</v>
      </c>
      <c r="C217" s="31">
        <v>1</v>
      </c>
      <c r="D217" s="30" t="s">
        <v>14</v>
      </c>
      <c r="E217" s="57" t="s">
        <v>15</v>
      </c>
      <c r="F217" s="29">
        <v>8</v>
      </c>
      <c r="G217" s="23">
        <v>0</v>
      </c>
      <c r="H217" s="31">
        <v>6231</v>
      </c>
      <c r="I217" s="31">
        <v>6250</v>
      </c>
      <c r="J217">
        <v>6246</v>
      </c>
    </row>
    <row r="218" spans="1:10" ht="18.75" customHeight="1">
      <c r="A218" s="71" t="s">
        <v>30</v>
      </c>
      <c r="B218" s="31">
        <v>135</v>
      </c>
      <c r="C218" s="31">
        <v>1</v>
      </c>
      <c r="D218" s="30" t="s">
        <v>14</v>
      </c>
      <c r="E218" s="57" t="s">
        <v>15</v>
      </c>
      <c r="F218" s="29">
        <v>8</v>
      </c>
      <c r="G218" s="23">
        <v>1</v>
      </c>
      <c r="H218" s="31">
        <v>3850</v>
      </c>
      <c r="I218" s="31">
        <v>3871</v>
      </c>
      <c r="J218">
        <v>3865</v>
      </c>
    </row>
    <row r="219" spans="1:10" ht="18.75" customHeight="1">
      <c r="A219" s="71" t="s">
        <v>30</v>
      </c>
      <c r="B219" s="31">
        <v>120</v>
      </c>
      <c r="C219" s="31">
        <v>2</v>
      </c>
      <c r="D219" s="30" t="s">
        <v>12</v>
      </c>
      <c r="E219" s="57" t="s">
        <v>13</v>
      </c>
      <c r="F219" s="29">
        <v>8</v>
      </c>
      <c r="G219" s="23">
        <v>0</v>
      </c>
      <c r="H219" s="31">
        <v>6171</v>
      </c>
      <c r="I219" s="31">
        <v>6191</v>
      </c>
    </row>
    <row r="220" spans="1:10" ht="18.75" customHeight="1">
      <c r="A220" s="71" t="s">
        <v>30</v>
      </c>
      <c r="B220" s="31">
        <v>130</v>
      </c>
      <c r="C220" s="31">
        <v>1</v>
      </c>
      <c r="D220" s="30" t="s">
        <v>14</v>
      </c>
      <c r="E220" s="57" t="s">
        <v>15</v>
      </c>
      <c r="F220" s="29">
        <v>7</v>
      </c>
      <c r="G220" s="23">
        <v>0</v>
      </c>
      <c r="H220" s="31">
        <v>5501</v>
      </c>
      <c r="I220" s="31">
        <v>5519</v>
      </c>
      <c r="J220">
        <v>5517</v>
      </c>
    </row>
    <row r="221" spans="1:10" ht="18.75" customHeight="1">
      <c r="A221" s="71" t="s">
        <v>30</v>
      </c>
      <c r="B221" s="31">
        <v>130</v>
      </c>
      <c r="C221" s="31">
        <v>2</v>
      </c>
      <c r="D221" s="30" t="s">
        <v>12</v>
      </c>
      <c r="E221" s="57" t="s">
        <v>13</v>
      </c>
      <c r="F221" s="29">
        <v>8</v>
      </c>
      <c r="G221" s="23">
        <v>0</v>
      </c>
      <c r="H221" s="31">
        <v>5923</v>
      </c>
      <c r="I221" s="31">
        <v>5942</v>
      </c>
    </row>
    <row r="222" spans="1:10" ht="18.75" customHeight="1">
      <c r="A222" s="71" t="s">
        <v>30</v>
      </c>
      <c r="B222" s="31">
        <v>135</v>
      </c>
      <c r="C222" s="31">
        <v>2</v>
      </c>
      <c r="D222" s="30" t="s">
        <v>14</v>
      </c>
      <c r="E222" s="57" t="s">
        <v>15</v>
      </c>
      <c r="F222" s="29">
        <v>8</v>
      </c>
      <c r="G222" s="23">
        <v>1</v>
      </c>
      <c r="H222" s="31">
        <v>4877</v>
      </c>
      <c r="I222" s="31">
        <v>4899</v>
      </c>
      <c r="J222">
        <v>4895</v>
      </c>
    </row>
    <row r="223" spans="1:10" ht="18.75" customHeight="1">
      <c r="A223" s="71" t="s">
        <v>30</v>
      </c>
      <c r="B223" s="31">
        <v>130</v>
      </c>
      <c r="C223" s="31">
        <v>3</v>
      </c>
      <c r="D223" s="30" t="s">
        <v>12</v>
      </c>
      <c r="E223" s="57" t="s">
        <v>13</v>
      </c>
      <c r="F223" s="29">
        <v>8</v>
      </c>
      <c r="G223" s="23">
        <v>0</v>
      </c>
      <c r="H223" s="31">
        <v>8349</v>
      </c>
      <c r="I223" s="31">
        <v>8367</v>
      </c>
    </row>
    <row r="224" spans="1:10" ht="18.75" customHeight="1">
      <c r="A224" s="71" t="s">
        <v>30</v>
      </c>
      <c r="B224" s="31">
        <v>135</v>
      </c>
      <c r="C224" s="31">
        <v>3</v>
      </c>
      <c r="D224" s="30" t="s">
        <v>12</v>
      </c>
      <c r="E224" s="57" t="s">
        <v>13</v>
      </c>
      <c r="F224" s="29">
        <v>8</v>
      </c>
      <c r="G224" s="23">
        <v>1</v>
      </c>
      <c r="H224" s="31">
        <v>7783</v>
      </c>
      <c r="I224" s="31">
        <v>7802</v>
      </c>
    </row>
    <row r="225" spans="1:11" ht="18.75" customHeight="1">
      <c r="A225" s="71" t="s">
        <v>30</v>
      </c>
      <c r="B225" s="31">
        <v>135</v>
      </c>
      <c r="C225" s="31">
        <v>4</v>
      </c>
      <c r="D225" s="30" t="s">
        <v>12</v>
      </c>
      <c r="E225" s="57" t="s">
        <v>13</v>
      </c>
      <c r="F225" s="29">
        <v>7</v>
      </c>
      <c r="G225" s="23">
        <v>1</v>
      </c>
      <c r="H225" s="31">
        <v>8592</v>
      </c>
      <c r="I225" s="31">
        <v>8611</v>
      </c>
    </row>
    <row r="226" spans="1:11" ht="18.75" customHeight="1">
      <c r="A226" s="71" t="s">
        <v>30</v>
      </c>
      <c r="B226" s="31">
        <v>140</v>
      </c>
      <c r="C226" s="31">
        <v>2</v>
      </c>
      <c r="D226" s="30" t="s">
        <v>14</v>
      </c>
      <c r="E226" s="57" t="s">
        <v>15</v>
      </c>
      <c r="F226" s="29">
        <v>8</v>
      </c>
      <c r="G226" s="23">
        <v>0</v>
      </c>
      <c r="H226" s="31">
        <v>7728</v>
      </c>
      <c r="I226" s="31">
        <v>7748</v>
      </c>
      <c r="J226">
        <v>7744</v>
      </c>
    </row>
    <row r="227" spans="1:11" ht="18.75" customHeight="1">
      <c r="A227" s="72" t="s">
        <v>31</v>
      </c>
      <c r="B227" s="32">
        <v>10</v>
      </c>
      <c r="C227" s="32">
        <v>1</v>
      </c>
      <c r="D227" s="66" t="s">
        <v>13</v>
      </c>
      <c r="E227" s="57" t="s">
        <v>13</v>
      </c>
      <c r="F227" s="33">
        <v>1</v>
      </c>
      <c r="G227" s="23">
        <v>0</v>
      </c>
      <c r="H227" s="32">
        <v>4321</v>
      </c>
      <c r="I227" s="32">
        <v>4433</v>
      </c>
      <c r="J227" s="1"/>
      <c r="K227" s="1"/>
    </row>
    <row r="228" spans="1:11" ht="18.75" customHeight="1">
      <c r="A228" s="70" t="s">
        <v>31</v>
      </c>
      <c r="B228" s="25">
        <v>15</v>
      </c>
      <c r="C228" s="25">
        <v>1</v>
      </c>
      <c r="D228" s="45" t="s">
        <v>14</v>
      </c>
      <c r="E228" s="57" t="s">
        <v>15</v>
      </c>
      <c r="F228" s="26">
        <v>7</v>
      </c>
      <c r="G228" s="23">
        <v>0</v>
      </c>
      <c r="H228" s="25">
        <v>4336</v>
      </c>
      <c r="I228" s="25">
        <v>4415</v>
      </c>
      <c r="J228" s="1">
        <v>4383</v>
      </c>
      <c r="K228" s="1"/>
    </row>
    <row r="229" spans="1:11" ht="18.75" customHeight="1">
      <c r="A229" s="70" t="s">
        <v>31</v>
      </c>
      <c r="B229" s="25">
        <v>15</v>
      </c>
      <c r="C229" s="25">
        <v>2</v>
      </c>
      <c r="D229" s="45" t="s">
        <v>16</v>
      </c>
      <c r="E229" s="57" t="s">
        <v>15</v>
      </c>
      <c r="F229" s="26">
        <v>7</v>
      </c>
      <c r="G229" s="23">
        <v>0</v>
      </c>
      <c r="H229" s="25">
        <v>3487</v>
      </c>
      <c r="I229" s="25">
        <v>3564</v>
      </c>
      <c r="J229" s="1">
        <v>3554</v>
      </c>
      <c r="K229" s="1"/>
    </row>
    <row r="230" spans="1:11" ht="18.75" customHeight="1">
      <c r="A230" s="70" t="s">
        <v>31</v>
      </c>
      <c r="B230" s="25">
        <v>15</v>
      </c>
      <c r="C230" s="25">
        <v>3</v>
      </c>
      <c r="D230" s="45" t="s">
        <v>14</v>
      </c>
      <c r="E230" s="57" t="s">
        <v>15</v>
      </c>
      <c r="F230" s="26">
        <v>7</v>
      </c>
      <c r="G230" s="23">
        <v>0</v>
      </c>
      <c r="H230" s="25">
        <v>4224</v>
      </c>
      <c r="I230" s="25">
        <v>4302</v>
      </c>
      <c r="J230" s="1">
        <v>4262</v>
      </c>
      <c r="K230" s="1"/>
    </row>
    <row r="231" spans="1:11" ht="18.75" customHeight="1">
      <c r="A231" s="70" t="s">
        <v>31</v>
      </c>
      <c r="B231" s="25">
        <v>15</v>
      </c>
      <c r="C231" s="25">
        <v>4</v>
      </c>
      <c r="D231" s="45" t="s">
        <v>16</v>
      </c>
      <c r="E231" s="57" t="s">
        <v>15</v>
      </c>
      <c r="F231" s="26">
        <v>8</v>
      </c>
      <c r="G231" s="23">
        <v>0</v>
      </c>
      <c r="H231" s="25">
        <v>3752</v>
      </c>
      <c r="I231" s="25">
        <v>3829</v>
      </c>
      <c r="J231" s="1">
        <v>3813</v>
      </c>
      <c r="K231" s="1"/>
    </row>
    <row r="232" spans="1:11" ht="18.75" customHeight="1">
      <c r="A232" s="70" t="s">
        <v>31</v>
      </c>
      <c r="B232" s="25">
        <v>15</v>
      </c>
      <c r="C232" s="25">
        <v>5</v>
      </c>
      <c r="D232" s="45" t="s">
        <v>14</v>
      </c>
      <c r="E232" s="57" t="s">
        <v>15</v>
      </c>
      <c r="F232" s="26">
        <v>7</v>
      </c>
      <c r="G232" s="23">
        <v>0</v>
      </c>
      <c r="H232" s="25">
        <v>3867</v>
      </c>
      <c r="I232" s="25">
        <v>3944</v>
      </c>
      <c r="J232" s="1">
        <v>3901</v>
      </c>
      <c r="K232" s="1"/>
    </row>
    <row r="233" spans="1:11" ht="18.75" customHeight="1">
      <c r="A233" s="70" t="s">
        <v>31</v>
      </c>
      <c r="B233" s="25">
        <v>15</v>
      </c>
      <c r="C233" s="25">
        <v>6</v>
      </c>
      <c r="D233" s="45" t="s">
        <v>14</v>
      </c>
      <c r="E233" s="57" t="s">
        <v>15</v>
      </c>
      <c r="F233" s="26">
        <v>7</v>
      </c>
      <c r="G233" s="23">
        <v>0</v>
      </c>
      <c r="H233" s="25">
        <v>3654</v>
      </c>
      <c r="I233" s="25">
        <v>3729</v>
      </c>
      <c r="J233" s="1">
        <v>3697</v>
      </c>
      <c r="K233" s="1"/>
    </row>
    <row r="234" spans="1:11" ht="18.75" customHeight="1">
      <c r="A234" s="70" t="s">
        <v>31</v>
      </c>
      <c r="B234" s="25">
        <v>15</v>
      </c>
      <c r="C234" s="25">
        <v>7</v>
      </c>
      <c r="D234" s="45" t="s">
        <v>14</v>
      </c>
      <c r="E234" s="57" t="s">
        <v>15</v>
      </c>
      <c r="F234" s="26">
        <v>7</v>
      </c>
      <c r="G234" s="23">
        <v>0</v>
      </c>
      <c r="H234" s="25">
        <v>3679</v>
      </c>
      <c r="I234" s="25">
        <v>3757</v>
      </c>
      <c r="J234" s="1">
        <v>3719</v>
      </c>
      <c r="K234" s="1"/>
    </row>
    <row r="235" spans="1:11" ht="18.75" customHeight="1">
      <c r="A235" s="70" t="s">
        <v>31</v>
      </c>
      <c r="B235" s="25">
        <v>15</v>
      </c>
      <c r="C235" s="25">
        <v>8</v>
      </c>
      <c r="D235" s="45" t="s">
        <v>14</v>
      </c>
      <c r="E235" s="57" t="s">
        <v>15</v>
      </c>
      <c r="F235" s="26">
        <v>5</v>
      </c>
      <c r="G235" s="23">
        <v>0</v>
      </c>
      <c r="H235" s="25">
        <v>5631</v>
      </c>
      <c r="I235" s="25">
        <v>5706</v>
      </c>
      <c r="J235" s="1">
        <v>5673</v>
      </c>
      <c r="K235" s="1"/>
    </row>
    <row r="236" spans="1:11" ht="18.75" customHeight="1">
      <c r="A236" s="70" t="s">
        <v>31</v>
      </c>
      <c r="B236" s="25">
        <v>13</v>
      </c>
      <c r="C236" s="25">
        <v>1</v>
      </c>
      <c r="D236" s="45" t="s">
        <v>12</v>
      </c>
      <c r="E236" s="57" t="s">
        <v>13</v>
      </c>
      <c r="F236" s="26">
        <v>6</v>
      </c>
      <c r="G236" s="23">
        <v>0</v>
      </c>
      <c r="H236" s="25">
        <v>6172</v>
      </c>
      <c r="I236" s="25">
        <v>6256</v>
      </c>
      <c r="J236" s="1"/>
      <c r="K236" s="1"/>
    </row>
    <row r="237" spans="1:11" ht="18.75" customHeight="1">
      <c r="A237" s="70" t="s">
        <v>31</v>
      </c>
      <c r="B237" s="25">
        <v>13</v>
      </c>
      <c r="C237" s="25">
        <v>2</v>
      </c>
      <c r="D237" s="45" t="s">
        <v>16</v>
      </c>
      <c r="E237" s="57" t="s">
        <v>15</v>
      </c>
      <c r="F237" s="26">
        <v>7</v>
      </c>
      <c r="G237" s="23">
        <v>0</v>
      </c>
      <c r="H237" s="25">
        <v>5930</v>
      </c>
      <c r="I237" s="25">
        <v>6017</v>
      </c>
      <c r="J237" s="1">
        <v>6019</v>
      </c>
      <c r="K237" s="1"/>
    </row>
    <row r="238" spans="1:11" ht="18.75" customHeight="1">
      <c r="A238" s="70" t="s">
        <v>31</v>
      </c>
      <c r="B238" s="25">
        <v>13</v>
      </c>
      <c r="C238" s="25">
        <v>3</v>
      </c>
      <c r="D238" s="45" t="s">
        <v>12</v>
      </c>
      <c r="E238" s="57" t="s">
        <v>13</v>
      </c>
      <c r="F238" s="26">
        <v>7</v>
      </c>
      <c r="G238" s="23">
        <v>0</v>
      </c>
      <c r="H238" s="25">
        <v>4551</v>
      </c>
      <c r="I238" s="25">
        <v>4637</v>
      </c>
      <c r="J238" s="1"/>
      <c r="K238" s="1"/>
    </row>
    <row r="239" spans="1:11" ht="18.75" customHeight="1">
      <c r="A239" s="70" t="s">
        <v>31</v>
      </c>
      <c r="B239" s="25">
        <v>13</v>
      </c>
      <c r="C239" s="25">
        <v>4</v>
      </c>
      <c r="D239" s="45" t="s">
        <v>12</v>
      </c>
      <c r="E239" s="57" t="s">
        <v>13</v>
      </c>
      <c r="F239" s="26">
        <v>7</v>
      </c>
      <c r="G239" s="23">
        <v>0</v>
      </c>
      <c r="H239" s="25">
        <v>4999</v>
      </c>
      <c r="I239" s="25">
        <v>5082</v>
      </c>
      <c r="J239" s="1"/>
      <c r="K239" s="1"/>
    </row>
    <row r="240" spans="1:11" ht="18.75" customHeight="1">
      <c r="A240" s="70" t="s">
        <v>31</v>
      </c>
      <c r="B240" s="25">
        <v>14</v>
      </c>
      <c r="C240" s="25">
        <v>1</v>
      </c>
      <c r="D240" s="45" t="s">
        <v>12</v>
      </c>
      <c r="E240" s="57" t="s">
        <v>13</v>
      </c>
      <c r="F240" s="26">
        <v>7</v>
      </c>
      <c r="G240" s="23">
        <v>0</v>
      </c>
      <c r="H240" s="25">
        <v>5207</v>
      </c>
      <c r="I240" s="25">
        <v>5289</v>
      </c>
      <c r="J240" s="1"/>
      <c r="K240" s="1"/>
    </row>
    <row r="241" spans="1:11" ht="18.75" customHeight="1">
      <c r="A241" s="70" t="s">
        <v>31</v>
      </c>
      <c r="B241" s="25">
        <v>12</v>
      </c>
      <c r="C241" s="25">
        <v>1</v>
      </c>
      <c r="D241" s="45" t="s">
        <v>12</v>
      </c>
      <c r="E241" s="57" t="s">
        <v>13</v>
      </c>
      <c r="F241" s="26">
        <v>1</v>
      </c>
      <c r="G241" s="23">
        <v>0</v>
      </c>
      <c r="H241" s="25">
        <v>4400</v>
      </c>
      <c r="I241" s="25">
        <v>4491</v>
      </c>
      <c r="J241" s="1"/>
      <c r="K241" s="1"/>
    </row>
    <row r="242" spans="1:11" ht="18.75" customHeight="1">
      <c r="A242" s="70" t="s">
        <v>32</v>
      </c>
      <c r="B242" s="25">
        <v>10</v>
      </c>
      <c r="C242" s="25">
        <v>1</v>
      </c>
      <c r="D242" s="45" t="s">
        <v>13</v>
      </c>
      <c r="E242" s="57" t="s">
        <v>13</v>
      </c>
      <c r="F242" s="26">
        <v>8</v>
      </c>
      <c r="G242" s="23">
        <v>0</v>
      </c>
      <c r="H242" s="25">
        <v>4324</v>
      </c>
      <c r="I242" s="25">
        <v>4434</v>
      </c>
      <c r="J242" s="1"/>
      <c r="K242" s="1"/>
    </row>
    <row r="243" spans="1:11" ht="18.75" customHeight="1">
      <c r="A243" s="70" t="s">
        <v>32</v>
      </c>
      <c r="B243" s="25">
        <v>15</v>
      </c>
      <c r="C243" s="25">
        <v>1</v>
      </c>
      <c r="D243" s="45" t="s">
        <v>13</v>
      </c>
      <c r="E243" s="57" t="s">
        <v>13</v>
      </c>
      <c r="F243" s="26">
        <v>8</v>
      </c>
      <c r="G243" s="23">
        <v>1</v>
      </c>
      <c r="H243" s="25">
        <v>3310</v>
      </c>
      <c r="I243" s="25">
        <v>3384</v>
      </c>
      <c r="J243" s="1"/>
      <c r="K243" s="1"/>
    </row>
    <row r="244" spans="1:11" ht="18.75" customHeight="1">
      <c r="A244" s="70" t="s">
        <v>32</v>
      </c>
      <c r="B244" s="25">
        <v>20</v>
      </c>
      <c r="C244" s="25">
        <v>1</v>
      </c>
      <c r="D244" s="45" t="s">
        <v>14</v>
      </c>
      <c r="E244" s="57" t="s">
        <v>15</v>
      </c>
      <c r="F244" s="26">
        <v>8</v>
      </c>
      <c r="G244" s="23">
        <v>0</v>
      </c>
      <c r="H244" s="25">
        <v>1873</v>
      </c>
      <c r="I244" s="25">
        <v>1929</v>
      </c>
      <c r="J244" s="1">
        <v>1907</v>
      </c>
      <c r="K244" s="1"/>
    </row>
    <row r="245" spans="1:11" ht="18.75" customHeight="1">
      <c r="A245" s="70" t="s">
        <v>32</v>
      </c>
      <c r="B245" s="25">
        <v>15</v>
      </c>
      <c r="C245" s="25">
        <v>2</v>
      </c>
      <c r="D245" s="45" t="s">
        <v>16</v>
      </c>
      <c r="E245" s="57" t="s">
        <v>15</v>
      </c>
      <c r="F245" s="26">
        <v>8</v>
      </c>
      <c r="G245" s="23">
        <v>1</v>
      </c>
      <c r="H245" s="25">
        <v>2175</v>
      </c>
      <c r="I245" s="25">
        <v>2251</v>
      </c>
      <c r="J245" s="1">
        <v>2217</v>
      </c>
      <c r="K245" s="1"/>
    </row>
    <row r="246" spans="1:11" ht="18.75" customHeight="1">
      <c r="A246" s="70" t="s">
        <v>32</v>
      </c>
      <c r="B246" s="25">
        <v>15</v>
      </c>
      <c r="C246" s="25">
        <v>3</v>
      </c>
      <c r="D246" s="45" t="s">
        <v>16</v>
      </c>
      <c r="E246" s="57" t="s">
        <v>15</v>
      </c>
      <c r="F246" s="26">
        <v>7</v>
      </c>
      <c r="G246" s="23">
        <v>1</v>
      </c>
      <c r="H246" s="25">
        <v>3748</v>
      </c>
      <c r="I246" s="25">
        <v>3824</v>
      </c>
      <c r="J246" s="1">
        <v>3788</v>
      </c>
      <c r="K246" s="1"/>
    </row>
    <row r="247" spans="1:11" ht="18.75" customHeight="1">
      <c r="A247" s="70" t="s">
        <v>32</v>
      </c>
      <c r="B247" s="25">
        <v>15</v>
      </c>
      <c r="C247" s="25">
        <v>4</v>
      </c>
      <c r="D247" s="45" t="s">
        <v>16</v>
      </c>
      <c r="E247" s="57" t="s">
        <v>15</v>
      </c>
      <c r="F247" s="26">
        <v>7</v>
      </c>
      <c r="G247" s="23">
        <v>1</v>
      </c>
      <c r="H247" s="25">
        <v>4218</v>
      </c>
      <c r="I247" s="25">
        <v>4294</v>
      </c>
      <c r="J247" s="1">
        <v>4260</v>
      </c>
      <c r="K247" s="1"/>
    </row>
    <row r="248" spans="1:11" ht="18.75" customHeight="1">
      <c r="A248" s="70" t="s">
        <v>32</v>
      </c>
      <c r="B248" s="25">
        <v>15</v>
      </c>
      <c r="C248" s="25">
        <v>5</v>
      </c>
      <c r="D248" s="45" t="s">
        <v>16</v>
      </c>
      <c r="E248" s="57" t="s">
        <v>15</v>
      </c>
      <c r="F248" s="26">
        <v>7</v>
      </c>
      <c r="G248" s="23">
        <v>1</v>
      </c>
      <c r="H248" s="25">
        <v>4174</v>
      </c>
      <c r="I248" s="25">
        <v>4249</v>
      </c>
      <c r="J248" s="1">
        <v>4221</v>
      </c>
      <c r="K248" s="1"/>
    </row>
    <row r="249" spans="1:11" ht="18.75" customHeight="1">
      <c r="A249" s="70" t="s">
        <v>32</v>
      </c>
      <c r="B249" s="25">
        <v>13</v>
      </c>
      <c r="C249" s="25">
        <v>1</v>
      </c>
      <c r="D249" s="45" t="s">
        <v>14</v>
      </c>
      <c r="E249" s="57" t="s">
        <v>15</v>
      </c>
      <c r="F249" s="26">
        <v>7</v>
      </c>
      <c r="G249" s="23">
        <v>0</v>
      </c>
      <c r="H249" s="25">
        <v>3358</v>
      </c>
      <c r="I249" s="25">
        <v>3443</v>
      </c>
      <c r="J249" s="1">
        <v>3441</v>
      </c>
      <c r="K249" s="1"/>
    </row>
    <row r="250" spans="1:11" ht="18.75" customHeight="1">
      <c r="A250" s="70" t="s">
        <v>32</v>
      </c>
      <c r="B250" s="25">
        <v>13</v>
      </c>
      <c r="C250" s="25">
        <v>2</v>
      </c>
      <c r="D250" s="45" t="s">
        <v>13</v>
      </c>
      <c r="E250" s="57" t="s">
        <v>13</v>
      </c>
      <c r="F250" s="26">
        <v>6</v>
      </c>
      <c r="G250" s="23">
        <v>0</v>
      </c>
      <c r="H250" s="25">
        <v>2630</v>
      </c>
      <c r="I250" s="25">
        <v>2716</v>
      </c>
      <c r="J250" s="1"/>
      <c r="K250" s="1"/>
    </row>
    <row r="251" spans="1:11" ht="18.75" customHeight="1">
      <c r="A251" s="70" t="s">
        <v>32</v>
      </c>
      <c r="B251" s="25">
        <v>13</v>
      </c>
      <c r="C251" s="25">
        <v>3</v>
      </c>
      <c r="D251" s="45" t="s">
        <v>13</v>
      </c>
      <c r="E251" s="57" t="s">
        <v>13</v>
      </c>
      <c r="F251" s="26">
        <v>6</v>
      </c>
      <c r="G251" s="23">
        <v>0</v>
      </c>
      <c r="H251" s="25">
        <v>4320</v>
      </c>
      <c r="I251" s="25">
        <v>4406</v>
      </c>
      <c r="J251" s="1"/>
      <c r="K251" s="1"/>
    </row>
    <row r="252" spans="1:11" ht="18.75" customHeight="1">
      <c r="A252" s="70" t="s">
        <v>32</v>
      </c>
      <c r="B252" s="25">
        <v>13</v>
      </c>
      <c r="C252" s="25">
        <v>4</v>
      </c>
      <c r="D252" s="45" t="s">
        <v>13</v>
      </c>
      <c r="E252" s="57" t="s">
        <v>13</v>
      </c>
      <c r="F252" s="26">
        <v>6</v>
      </c>
      <c r="G252" s="23">
        <v>0</v>
      </c>
      <c r="H252" s="25">
        <v>4060</v>
      </c>
      <c r="I252" s="25">
        <v>4146</v>
      </c>
      <c r="J252" s="1"/>
      <c r="K252" s="1"/>
    </row>
    <row r="253" spans="1:11" ht="18.75" customHeight="1">
      <c r="A253" s="70" t="s">
        <v>32</v>
      </c>
      <c r="B253" s="25">
        <v>14</v>
      </c>
      <c r="C253" s="25">
        <v>1</v>
      </c>
      <c r="D253" s="45" t="s">
        <v>12</v>
      </c>
      <c r="E253" s="57" t="s">
        <v>13</v>
      </c>
      <c r="F253" s="26">
        <v>6</v>
      </c>
      <c r="G253" s="23">
        <v>0</v>
      </c>
      <c r="H253" s="25">
        <v>2843</v>
      </c>
      <c r="I253" s="25">
        <v>2922</v>
      </c>
      <c r="J253" s="1"/>
      <c r="K253" s="1"/>
    </row>
    <row r="254" spans="1:11" ht="18.75" customHeight="1">
      <c r="A254" s="70" t="s">
        <v>32</v>
      </c>
      <c r="B254" s="25">
        <v>12</v>
      </c>
      <c r="C254" s="25">
        <v>1</v>
      </c>
      <c r="D254" s="45" t="s">
        <v>13</v>
      </c>
      <c r="E254" s="57" t="s">
        <v>13</v>
      </c>
      <c r="F254" s="26">
        <v>5</v>
      </c>
      <c r="G254" s="23">
        <v>0</v>
      </c>
      <c r="H254" s="25">
        <v>4136</v>
      </c>
      <c r="I254" s="25">
        <v>4230</v>
      </c>
      <c r="J254" s="1"/>
      <c r="K254" s="1"/>
    </row>
    <row r="255" spans="1:11" ht="18.75" customHeight="1">
      <c r="A255" s="70" t="s">
        <v>32</v>
      </c>
      <c r="B255" s="25">
        <v>15</v>
      </c>
      <c r="C255" s="25">
        <v>6</v>
      </c>
      <c r="D255" s="45" t="s">
        <v>13</v>
      </c>
      <c r="E255" s="57" t="s">
        <v>13</v>
      </c>
      <c r="F255" s="26">
        <v>6</v>
      </c>
      <c r="G255" s="23">
        <v>1</v>
      </c>
      <c r="H255" s="25">
        <v>1762</v>
      </c>
      <c r="I255" s="25">
        <v>1838</v>
      </c>
      <c r="J255" s="1"/>
      <c r="K255" s="1"/>
    </row>
    <row r="256" spans="1:11" ht="18.75" customHeight="1">
      <c r="A256" s="70" t="s">
        <v>32</v>
      </c>
      <c r="B256" s="25">
        <v>18</v>
      </c>
      <c r="C256" s="25">
        <v>1</v>
      </c>
      <c r="D256" s="45" t="s">
        <v>12</v>
      </c>
      <c r="E256" s="57" t="s">
        <v>13</v>
      </c>
      <c r="F256" s="26">
        <v>6</v>
      </c>
      <c r="G256" s="23">
        <v>0</v>
      </c>
      <c r="H256" s="25">
        <v>3173</v>
      </c>
      <c r="I256" s="25">
        <v>3237</v>
      </c>
      <c r="J256" s="1"/>
      <c r="K256" s="1"/>
    </row>
    <row r="257" spans="1:11" ht="18.75" customHeight="1">
      <c r="A257" s="70" t="s">
        <v>32</v>
      </c>
      <c r="B257" s="25">
        <v>20</v>
      </c>
      <c r="C257" s="25">
        <v>2</v>
      </c>
      <c r="D257" s="45" t="s">
        <v>14</v>
      </c>
      <c r="E257" s="57" t="s">
        <v>15</v>
      </c>
      <c r="F257" s="26">
        <v>7</v>
      </c>
      <c r="G257" s="23">
        <v>0</v>
      </c>
      <c r="H257" s="25">
        <v>3763</v>
      </c>
      <c r="I257" s="25">
        <v>3820</v>
      </c>
      <c r="J257" s="1">
        <v>3820</v>
      </c>
      <c r="K257" s="1"/>
    </row>
    <row r="258" spans="1:11" ht="18.75" customHeight="1">
      <c r="A258" s="70" t="s">
        <v>32</v>
      </c>
      <c r="B258" s="25">
        <v>19</v>
      </c>
      <c r="C258" s="25">
        <v>1</v>
      </c>
      <c r="D258" s="45" t="s">
        <v>14</v>
      </c>
      <c r="E258" s="57" t="s">
        <v>15</v>
      </c>
      <c r="F258" s="26">
        <v>8</v>
      </c>
      <c r="G258" s="23">
        <v>0</v>
      </c>
      <c r="H258" s="25">
        <v>3228</v>
      </c>
      <c r="I258" s="25">
        <v>3289</v>
      </c>
      <c r="J258" s="1">
        <v>3262</v>
      </c>
      <c r="K258" s="1"/>
    </row>
    <row r="259" spans="1:11" ht="18.75" customHeight="1">
      <c r="A259" s="70" t="s">
        <v>32</v>
      </c>
      <c r="B259" s="25">
        <v>18</v>
      </c>
      <c r="C259" s="25">
        <v>2</v>
      </c>
      <c r="D259" s="45" t="s">
        <v>12</v>
      </c>
      <c r="E259" s="57" t="s">
        <v>13</v>
      </c>
      <c r="F259" s="26">
        <v>6</v>
      </c>
      <c r="G259" s="23">
        <v>0</v>
      </c>
      <c r="H259" s="25">
        <v>2515</v>
      </c>
      <c r="I259" s="25">
        <v>2578</v>
      </c>
      <c r="J259" s="1"/>
      <c r="K259" s="1"/>
    </row>
    <row r="260" spans="1:11" ht="18.75" customHeight="1">
      <c r="A260" s="70" t="s">
        <v>33</v>
      </c>
      <c r="B260" s="25">
        <v>10</v>
      </c>
      <c r="C260" s="25">
        <v>1</v>
      </c>
      <c r="D260" s="45" t="s">
        <v>14</v>
      </c>
      <c r="E260" s="57" t="s">
        <v>15</v>
      </c>
      <c r="F260" s="26">
        <v>5</v>
      </c>
      <c r="G260" s="23">
        <v>0</v>
      </c>
      <c r="H260" s="25">
        <v>4439</v>
      </c>
      <c r="I260" s="25">
        <v>4548</v>
      </c>
      <c r="J260" s="1">
        <v>4482</v>
      </c>
      <c r="K260" s="1"/>
    </row>
    <row r="261" spans="1:11" ht="18.75" customHeight="1">
      <c r="A261" s="70" t="s">
        <v>33</v>
      </c>
      <c r="B261" s="25">
        <v>12</v>
      </c>
      <c r="C261" s="25">
        <v>1</v>
      </c>
      <c r="D261" s="45" t="s">
        <v>14</v>
      </c>
      <c r="E261" s="57" t="s">
        <v>15</v>
      </c>
      <c r="F261" s="26">
        <v>3</v>
      </c>
      <c r="G261" s="23">
        <v>0</v>
      </c>
      <c r="H261" s="25">
        <v>5987</v>
      </c>
      <c r="I261" s="25">
        <v>6076</v>
      </c>
      <c r="J261" s="1">
        <v>6020</v>
      </c>
      <c r="K261" s="1"/>
    </row>
    <row r="262" spans="1:11" ht="18.75" customHeight="1">
      <c r="A262" s="70" t="s">
        <v>33</v>
      </c>
      <c r="B262" s="25">
        <v>12</v>
      </c>
      <c r="C262" s="25">
        <v>2</v>
      </c>
      <c r="D262" s="45" t="s">
        <v>14</v>
      </c>
      <c r="E262" s="57" t="s">
        <v>15</v>
      </c>
      <c r="F262" s="26">
        <v>1</v>
      </c>
      <c r="G262" s="23">
        <v>0</v>
      </c>
      <c r="H262" s="25">
        <v>6129</v>
      </c>
      <c r="I262" s="25">
        <v>6222</v>
      </c>
      <c r="J262" s="1">
        <v>6163</v>
      </c>
      <c r="K262" s="1"/>
    </row>
    <row r="263" spans="1:11" ht="18.75" customHeight="1">
      <c r="A263" s="70" t="s">
        <v>33</v>
      </c>
      <c r="B263" s="25">
        <v>10</v>
      </c>
      <c r="C263" s="25">
        <v>2</v>
      </c>
      <c r="D263" s="45" t="s">
        <v>12</v>
      </c>
      <c r="E263" s="57" t="s">
        <v>13</v>
      </c>
      <c r="F263" s="26">
        <v>1</v>
      </c>
      <c r="G263" s="23">
        <v>0</v>
      </c>
      <c r="H263" s="25">
        <v>5024</v>
      </c>
      <c r="I263" s="25">
        <v>5132</v>
      </c>
      <c r="J263" s="1"/>
      <c r="K263" s="1"/>
    </row>
    <row r="264" spans="1:11" ht="18.75" customHeight="1">
      <c r="A264" s="70" t="s">
        <v>33</v>
      </c>
      <c r="B264" s="25">
        <v>11</v>
      </c>
      <c r="C264" s="25">
        <v>1</v>
      </c>
      <c r="D264" s="45" t="s">
        <v>12</v>
      </c>
      <c r="E264" s="57" t="s">
        <v>13</v>
      </c>
      <c r="F264" s="26">
        <v>1</v>
      </c>
      <c r="G264" s="23">
        <v>0</v>
      </c>
      <c r="H264" s="25">
        <v>4395</v>
      </c>
      <c r="I264" s="25">
        <v>4492</v>
      </c>
      <c r="J264" s="1"/>
      <c r="K264" s="1"/>
    </row>
    <row r="265" spans="1:11" ht="18.75" customHeight="1">
      <c r="A265" s="70" t="s">
        <v>33</v>
      </c>
      <c r="B265" s="25">
        <v>11</v>
      </c>
      <c r="C265" s="25">
        <v>2</v>
      </c>
      <c r="D265" s="45" t="s">
        <v>12</v>
      </c>
      <c r="E265" s="57" t="s">
        <v>13</v>
      </c>
      <c r="F265" s="26">
        <v>1</v>
      </c>
      <c r="G265" s="23">
        <v>0</v>
      </c>
      <c r="H265" s="25">
        <v>3482</v>
      </c>
      <c r="I265" s="25">
        <v>3580</v>
      </c>
      <c r="J265" s="1"/>
      <c r="K265" s="1"/>
    </row>
    <row r="266" spans="1:11" ht="18.75" customHeight="1">
      <c r="A266" s="70" t="s">
        <v>33</v>
      </c>
      <c r="B266" s="25">
        <v>12</v>
      </c>
      <c r="C266" s="25">
        <v>3</v>
      </c>
      <c r="D266" s="45" t="s">
        <v>13</v>
      </c>
      <c r="E266" s="57" t="s">
        <v>13</v>
      </c>
      <c r="F266" s="26">
        <v>1</v>
      </c>
      <c r="G266" s="23">
        <v>0</v>
      </c>
      <c r="H266" s="25">
        <v>9089</v>
      </c>
      <c r="I266" s="25">
        <v>9176</v>
      </c>
      <c r="J266" s="1"/>
      <c r="K266" s="1"/>
    </row>
    <row r="267" spans="1:11" ht="18.75" customHeight="1">
      <c r="A267" s="70" t="s">
        <v>33</v>
      </c>
      <c r="B267" s="25">
        <v>13</v>
      </c>
      <c r="C267" s="25">
        <v>1</v>
      </c>
      <c r="D267" s="45" t="s">
        <v>14</v>
      </c>
      <c r="E267" s="57" t="s">
        <v>15</v>
      </c>
      <c r="F267" s="26">
        <v>1</v>
      </c>
      <c r="G267" s="23">
        <v>0</v>
      </c>
      <c r="H267" s="25">
        <v>3151</v>
      </c>
      <c r="I267" s="25">
        <v>3236</v>
      </c>
      <c r="J267" s="1">
        <v>3181</v>
      </c>
      <c r="K267" s="1"/>
    </row>
    <row r="268" spans="1:11" ht="18.75" customHeight="1">
      <c r="A268" s="70" t="s">
        <v>33</v>
      </c>
      <c r="B268" s="27">
        <v>12.5</v>
      </c>
      <c r="C268" s="25">
        <v>1</v>
      </c>
      <c r="D268" s="45" t="s">
        <v>13</v>
      </c>
      <c r="E268" s="57" t="s">
        <v>13</v>
      </c>
      <c r="F268" s="26">
        <v>1</v>
      </c>
      <c r="G268" s="23">
        <v>0</v>
      </c>
      <c r="H268" s="25">
        <v>3642</v>
      </c>
      <c r="I268" s="25">
        <v>3729</v>
      </c>
      <c r="J268" s="1"/>
      <c r="K268" s="1"/>
    </row>
    <row r="269" spans="1:11" ht="18.75" customHeight="1">
      <c r="A269" s="70" t="s">
        <v>33</v>
      </c>
      <c r="B269" s="25">
        <v>13</v>
      </c>
      <c r="C269" s="25">
        <v>2</v>
      </c>
      <c r="D269" s="45" t="s">
        <v>13</v>
      </c>
      <c r="E269" s="57" t="s">
        <v>13</v>
      </c>
      <c r="F269" s="26">
        <v>1</v>
      </c>
      <c r="G269" s="23">
        <v>0</v>
      </c>
      <c r="H269" s="25">
        <v>2817</v>
      </c>
      <c r="I269" s="25">
        <v>2901</v>
      </c>
      <c r="J269" s="1"/>
      <c r="K269" s="1"/>
    </row>
    <row r="270" spans="1:11" ht="18.75" customHeight="1">
      <c r="A270" s="70" t="s">
        <v>33</v>
      </c>
      <c r="B270" s="25">
        <v>15</v>
      </c>
      <c r="C270" s="25">
        <v>1</v>
      </c>
      <c r="D270" s="45" t="s">
        <v>13</v>
      </c>
      <c r="E270" s="57" t="s">
        <v>13</v>
      </c>
      <c r="F270" s="26">
        <v>1</v>
      </c>
      <c r="G270" s="23">
        <v>0</v>
      </c>
      <c r="H270" s="25">
        <v>2370</v>
      </c>
      <c r="I270" s="25">
        <v>2445</v>
      </c>
      <c r="J270" s="1"/>
      <c r="K270" s="1"/>
    </row>
    <row r="271" spans="1:11" ht="18.75" customHeight="1">
      <c r="A271" s="70" t="s">
        <v>33</v>
      </c>
      <c r="B271" s="25">
        <v>20</v>
      </c>
      <c r="C271" s="25">
        <v>1</v>
      </c>
      <c r="D271" s="45" t="s">
        <v>14</v>
      </c>
      <c r="E271" s="57" t="s">
        <v>15</v>
      </c>
      <c r="F271" s="26">
        <v>1</v>
      </c>
      <c r="G271" s="23">
        <v>0</v>
      </c>
      <c r="H271" s="25">
        <v>1964</v>
      </c>
      <c r="I271" s="25">
        <v>2026</v>
      </c>
      <c r="J271" s="1">
        <v>2000</v>
      </c>
      <c r="K271" s="1"/>
    </row>
    <row r="272" spans="1:11" ht="18.75" customHeight="1">
      <c r="A272" s="70" t="s">
        <v>33</v>
      </c>
      <c r="B272" s="25">
        <v>18</v>
      </c>
      <c r="C272" s="25">
        <v>1</v>
      </c>
      <c r="D272" s="45" t="s">
        <v>13</v>
      </c>
      <c r="E272" s="57" t="s">
        <v>13</v>
      </c>
      <c r="F272" s="26">
        <v>1</v>
      </c>
      <c r="G272" s="23">
        <v>0</v>
      </c>
      <c r="H272" s="25">
        <v>2824</v>
      </c>
      <c r="I272" s="25">
        <v>2885</v>
      </c>
      <c r="J272" s="1"/>
      <c r="K272" s="1"/>
    </row>
    <row r="273" spans="1:11" ht="18.75" customHeight="1">
      <c r="A273" s="70" t="s">
        <v>33</v>
      </c>
      <c r="B273" s="25">
        <v>20</v>
      </c>
      <c r="C273" s="25">
        <v>2</v>
      </c>
      <c r="D273" s="45" t="s">
        <v>13</v>
      </c>
      <c r="E273" s="57" t="s">
        <v>13</v>
      </c>
      <c r="F273" s="26">
        <v>1</v>
      </c>
      <c r="G273" s="23">
        <v>0</v>
      </c>
      <c r="H273" s="25">
        <v>4337</v>
      </c>
      <c r="I273" s="25">
        <v>4396</v>
      </c>
      <c r="J273" s="1"/>
      <c r="K273" s="1"/>
    </row>
    <row r="274" spans="1:11" ht="18.75" customHeight="1">
      <c r="A274" s="70" t="s">
        <v>33</v>
      </c>
      <c r="B274" s="25">
        <v>22</v>
      </c>
      <c r="C274" s="25">
        <v>2</v>
      </c>
      <c r="D274" s="45" t="s">
        <v>13</v>
      </c>
      <c r="E274" s="57" t="s">
        <v>13</v>
      </c>
      <c r="F274" s="26">
        <v>1</v>
      </c>
      <c r="G274" s="23">
        <v>0</v>
      </c>
      <c r="H274" s="25">
        <v>3624</v>
      </c>
      <c r="I274" s="25">
        <v>3679</v>
      </c>
      <c r="J274" s="1"/>
      <c r="K274" s="1"/>
    </row>
    <row r="275" spans="1:11" ht="18.75" customHeight="1">
      <c r="A275" s="73" t="s">
        <v>33</v>
      </c>
      <c r="B275" s="34">
        <v>25</v>
      </c>
      <c r="C275" s="34">
        <v>1</v>
      </c>
      <c r="D275" s="67" t="s">
        <v>13</v>
      </c>
      <c r="E275" s="57" t="s">
        <v>13</v>
      </c>
      <c r="F275" s="35">
        <v>1</v>
      </c>
      <c r="G275" s="23">
        <v>0</v>
      </c>
      <c r="H275" s="34">
        <v>5181</v>
      </c>
      <c r="I275" s="34">
        <v>5232</v>
      </c>
      <c r="J275" s="1"/>
      <c r="K275" s="1"/>
    </row>
    <row r="276" spans="1:11" ht="18.75" customHeight="1">
      <c r="A276" s="74" t="s">
        <v>34</v>
      </c>
      <c r="B276" s="38">
        <v>10</v>
      </c>
      <c r="C276" s="38">
        <v>1</v>
      </c>
      <c r="D276" s="36" t="s">
        <v>13</v>
      </c>
      <c r="E276" s="57" t="s">
        <v>13</v>
      </c>
      <c r="F276" s="37">
        <v>1</v>
      </c>
      <c r="G276" s="23">
        <v>0</v>
      </c>
      <c r="H276" s="38">
        <v>2698</v>
      </c>
      <c r="I276" s="38">
        <v>2806</v>
      </c>
      <c r="J276" s="1"/>
      <c r="K276" s="1"/>
    </row>
    <row r="277" spans="1:11" ht="18.75" customHeight="1">
      <c r="A277" s="74" t="s">
        <v>34</v>
      </c>
      <c r="B277" s="38">
        <v>15</v>
      </c>
      <c r="C277" s="38">
        <v>1</v>
      </c>
      <c r="D277" s="36" t="s">
        <v>13</v>
      </c>
      <c r="E277" s="57" t="s">
        <v>13</v>
      </c>
      <c r="F277" s="37">
        <v>2</v>
      </c>
      <c r="G277" s="23">
        <v>0</v>
      </c>
      <c r="H277" s="38">
        <v>3581</v>
      </c>
      <c r="I277" s="38">
        <v>3657</v>
      </c>
      <c r="J277" s="1"/>
      <c r="K277" s="1"/>
    </row>
    <row r="278" spans="1:11" ht="18.75" customHeight="1">
      <c r="A278" s="74" t="s">
        <v>34</v>
      </c>
      <c r="B278" s="38">
        <v>20</v>
      </c>
      <c r="C278" s="38">
        <v>1</v>
      </c>
      <c r="D278" s="36" t="s">
        <v>14</v>
      </c>
      <c r="E278" s="57" t="s">
        <v>15</v>
      </c>
      <c r="F278" s="37">
        <v>3</v>
      </c>
      <c r="G278" s="23">
        <v>0</v>
      </c>
      <c r="H278" s="38">
        <v>4474</v>
      </c>
      <c r="I278" s="38">
        <v>4533</v>
      </c>
      <c r="J278" s="1">
        <v>4516</v>
      </c>
      <c r="K278" s="1"/>
    </row>
    <row r="279" spans="1:11" ht="18.75" customHeight="1">
      <c r="A279" s="74" t="s">
        <v>34</v>
      </c>
      <c r="B279" s="38">
        <v>20</v>
      </c>
      <c r="C279" s="38">
        <v>2</v>
      </c>
      <c r="D279" s="36" t="s">
        <v>14</v>
      </c>
      <c r="E279" s="57" t="s">
        <v>15</v>
      </c>
      <c r="F279" s="37">
        <v>4</v>
      </c>
      <c r="G279" s="23">
        <v>0</v>
      </c>
      <c r="H279" s="38">
        <v>2315</v>
      </c>
      <c r="I279" s="38">
        <v>2376</v>
      </c>
      <c r="J279" s="1">
        <v>2368</v>
      </c>
      <c r="K279" s="1"/>
    </row>
    <row r="280" spans="1:11" ht="18.75" customHeight="1">
      <c r="A280" s="74" t="s">
        <v>34</v>
      </c>
      <c r="B280" s="38">
        <v>20</v>
      </c>
      <c r="C280" s="38">
        <v>3</v>
      </c>
      <c r="D280" s="36" t="s">
        <v>14</v>
      </c>
      <c r="E280" s="57" t="s">
        <v>15</v>
      </c>
      <c r="F280" s="37">
        <v>3</v>
      </c>
      <c r="G280" s="23">
        <v>0</v>
      </c>
      <c r="H280" s="38">
        <v>3359</v>
      </c>
      <c r="I280" s="38">
        <v>3418</v>
      </c>
      <c r="J280" s="1">
        <v>3404</v>
      </c>
      <c r="K280" s="1"/>
    </row>
    <row r="281" spans="1:11" ht="18.75" customHeight="1">
      <c r="A281" s="74" t="s">
        <v>34</v>
      </c>
      <c r="B281" s="38">
        <v>18</v>
      </c>
      <c r="C281" s="38">
        <v>1</v>
      </c>
      <c r="D281" s="36" t="s">
        <v>12</v>
      </c>
      <c r="E281" s="57" t="s">
        <v>13</v>
      </c>
      <c r="F281" s="37">
        <v>2</v>
      </c>
      <c r="G281" s="23">
        <v>1</v>
      </c>
      <c r="H281" s="38">
        <v>4613</v>
      </c>
      <c r="I281" s="38">
        <v>4677</v>
      </c>
      <c r="J281" s="1"/>
      <c r="K281" s="1"/>
    </row>
    <row r="282" spans="1:11" ht="18.75" customHeight="1">
      <c r="A282" s="74" t="s">
        <v>34</v>
      </c>
      <c r="B282" s="38">
        <v>18</v>
      </c>
      <c r="C282" s="38">
        <v>2</v>
      </c>
      <c r="D282" s="36" t="s">
        <v>14</v>
      </c>
      <c r="E282" s="57" t="s">
        <v>15</v>
      </c>
      <c r="F282" s="37">
        <v>2</v>
      </c>
      <c r="G282" s="23">
        <v>1</v>
      </c>
      <c r="H282" s="38">
        <v>4595</v>
      </c>
      <c r="I282" s="38">
        <v>4659</v>
      </c>
      <c r="J282" s="1">
        <v>4661</v>
      </c>
      <c r="K282" s="1"/>
    </row>
    <row r="283" spans="1:11" ht="18.75" customHeight="1">
      <c r="A283" s="74" t="s">
        <v>34</v>
      </c>
      <c r="B283" s="38">
        <v>18</v>
      </c>
      <c r="C283" s="38">
        <v>3</v>
      </c>
      <c r="D283" s="36" t="s">
        <v>14</v>
      </c>
      <c r="E283" s="57" t="s">
        <v>15</v>
      </c>
      <c r="F283" s="37">
        <v>2</v>
      </c>
      <c r="G283" s="23">
        <v>1</v>
      </c>
      <c r="H283" s="38">
        <v>5253</v>
      </c>
      <c r="I283" s="38">
        <v>5315</v>
      </c>
      <c r="J283" s="1">
        <v>5311</v>
      </c>
      <c r="K283" s="1"/>
    </row>
    <row r="284" spans="1:11" ht="18.75" customHeight="1">
      <c r="A284" s="74" t="s">
        <v>34</v>
      </c>
      <c r="B284" s="38">
        <v>17</v>
      </c>
      <c r="C284" s="38">
        <v>1</v>
      </c>
      <c r="D284" s="36" t="s">
        <v>14</v>
      </c>
      <c r="E284" s="57" t="s">
        <v>15</v>
      </c>
      <c r="F284" s="37">
        <v>2</v>
      </c>
      <c r="G284" s="23">
        <v>0</v>
      </c>
      <c r="H284" s="38">
        <v>4850</v>
      </c>
      <c r="I284" s="38">
        <v>4919</v>
      </c>
      <c r="J284" s="1">
        <v>4914</v>
      </c>
      <c r="K284" s="1"/>
    </row>
    <row r="285" spans="1:11" ht="18.75" customHeight="1">
      <c r="A285" s="74" t="s">
        <v>34</v>
      </c>
      <c r="B285" s="38">
        <v>16</v>
      </c>
      <c r="C285" s="38">
        <v>1</v>
      </c>
      <c r="D285" s="36" t="s">
        <v>14</v>
      </c>
      <c r="E285" s="57" t="s">
        <v>15</v>
      </c>
      <c r="F285" s="37">
        <v>2</v>
      </c>
      <c r="G285" s="23">
        <v>0</v>
      </c>
      <c r="H285" s="38">
        <v>4741</v>
      </c>
      <c r="I285" s="38">
        <v>4812</v>
      </c>
      <c r="J285" s="1">
        <v>4796</v>
      </c>
      <c r="K285" s="1"/>
    </row>
    <row r="286" spans="1:11" ht="18.75" customHeight="1">
      <c r="A286" s="74" t="s">
        <v>34</v>
      </c>
      <c r="B286" s="38">
        <v>15</v>
      </c>
      <c r="C286" s="38">
        <v>2</v>
      </c>
      <c r="D286" s="36" t="s">
        <v>13</v>
      </c>
      <c r="E286" s="57" t="s">
        <v>13</v>
      </c>
      <c r="F286" s="37">
        <v>1</v>
      </c>
      <c r="G286" s="23">
        <v>0</v>
      </c>
      <c r="H286" s="38">
        <v>5245</v>
      </c>
      <c r="I286" s="38">
        <v>5321</v>
      </c>
      <c r="J286" s="1"/>
      <c r="K286" s="1"/>
    </row>
    <row r="287" spans="1:11" ht="18.75" customHeight="1">
      <c r="A287" s="74" t="s">
        <v>34</v>
      </c>
      <c r="B287" s="38">
        <v>15</v>
      </c>
      <c r="C287" s="38">
        <v>3</v>
      </c>
      <c r="D287" s="36" t="s">
        <v>14</v>
      </c>
      <c r="E287" s="57" t="s">
        <v>15</v>
      </c>
      <c r="F287" s="37">
        <v>1</v>
      </c>
      <c r="G287" s="23">
        <v>0</v>
      </c>
      <c r="H287" s="38">
        <v>3884</v>
      </c>
      <c r="I287" s="38">
        <v>3958</v>
      </c>
      <c r="J287" s="1">
        <v>3939</v>
      </c>
      <c r="K287" s="1"/>
    </row>
    <row r="288" spans="1:11" ht="18.75" customHeight="1">
      <c r="A288" s="74" t="s">
        <v>34</v>
      </c>
      <c r="B288" s="38">
        <v>15</v>
      </c>
      <c r="C288" s="38">
        <v>4</v>
      </c>
      <c r="D288" s="36" t="s">
        <v>14</v>
      </c>
      <c r="E288" s="57" t="s">
        <v>15</v>
      </c>
      <c r="F288" s="37">
        <v>1</v>
      </c>
      <c r="G288" s="23">
        <v>0</v>
      </c>
      <c r="H288" s="38">
        <v>3598</v>
      </c>
      <c r="I288" s="38">
        <v>3672</v>
      </c>
      <c r="J288" s="1">
        <v>3653</v>
      </c>
      <c r="K288" s="1"/>
    </row>
    <row r="289" spans="1:11" ht="18.75" customHeight="1">
      <c r="A289" s="74" t="s">
        <v>34</v>
      </c>
      <c r="B289" s="38">
        <v>14</v>
      </c>
      <c r="C289" s="38">
        <v>1</v>
      </c>
      <c r="D289" s="36" t="s">
        <v>13</v>
      </c>
      <c r="E289" s="57" t="s">
        <v>13</v>
      </c>
      <c r="F289" s="37">
        <v>1</v>
      </c>
      <c r="G289" s="23">
        <v>0</v>
      </c>
      <c r="H289" s="38">
        <v>4396</v>
      </c>
      <c r="I289" s="38">
        <v>4475</v>
      </c>
      <c r="J289" s="1"/>
      <c r="K289" s="1"/>
    </row>
    <row r="290" spans="1:11" ht="18.75" customHeight="1">
      <c r="A290" s="74" t="s">
        <v>34</v>
      </c>
      <c r="B290" s="64">
        <v>14.5</v>
      </c>
      <c r="C290" s="38">
        <v>1</v>
      </c>
      <c r="D290" s="36" t="s">
        <v>13</v>
      </c>
      <c r="E290" s="57" t="s">
        <v>13</v>
      </c>
      <c r="F290" s="37">
        <v>1</v>
      </c>
      <c r="G290" s="23">
        <v>0</v>
      </c>
      <c r="H290" s="38">
        <v>2887</v>
      </c>
      <c r="I290" s="38">
        <v>2965</v>
      </c>
      <c r="J290" s="1"/>
      <c r="K290" s="1"/>
    </row>
    <row r="291" spans="1:11" ht="18.75" customHeight="1">
      <c r="A291" s="74" t="s">
        <v>34</v>
      </c>
      <c r="B291" s="38">
        <v>15</v>
      </c>
      <c r="C291" s="38">
        <v>5</v>
      </c>
      <c r="D291" s="36" t="s">
        <v>14</v>
      </c>
      <c r="E291" s="57" t="s">
        <v>15</v>
      </c>
      <c r="F291" s="37">
        <v>1</v>
      </c>
      <c r="G291" s="23">
        <v>0</v>
      </c>
      <c r="H291" s="38">
        <v>4362</v>
      </c>
      <c r="I291" s="38">
        <v>4438</v>
      </c>
      <c r="J291" s="1">
        <v>4445</v>
      </c>
      <c r="K291" s="1"/>
    </row>
    <row r="292" spans="1:11" ht="18.75" customHeight="1">
      <c r="A292" s="74" t="s">
        <v>34</v>
      </c>
      <c r="B292" s="38">
        <v>15</v>
      </c>
      <c r="C292" s="38">
        <v>6</v>
      </c>
      <c r="D292" s="36" t="s">
        <v>13</v>
      </c>
      <c r="E292" s="57" t="s">
        <v>13</v>
      </c>
      <c r="F292" s="37">
        <v>1</v>
      </c>
      <c r="G292" s="23">
        <v>0</v>
      </c>
      <c r="H292" s="38">
        <v>3618</v>
      </c>
      <c r="I292" s="38">
        <v>3693</v>
      </c>
      <c r="J292" s="1"/>
      <c r="K292" s="1"/>
    </row>
    <row r="293" spans="1:11" ht="18.75" customHeight="1">
      <c r="A293" s="74" t="s">
        <v>34</v>
      </c>
      <c r="B293" s="38">
        <v>15</v>
      </c>
      <c r="C293" s="38">
        <v>7</v>
      </c>
      <c r="D293" s="36" t="s">
        <v>13</v>
      </c>
      <c r="E293" s="57" t="s">
        <v>13</v>
      </c>
      <c r="F293" s="37">
        <v>1</v>
      </c>
      <c r="G293" s="23">
        <v>0</v>
      </c>
      <c r="H293" s="38">
        <v>2930</v>
      </c>
      <c r="I293" s="38">
        <v>3006</v>
      </c>
      <c r="J293" s="1"/>
      <c r="K293" s="1"/>
    </row>
    <row r="294" spans="1:11" ht="18.75" customHeight="1">
      <c r="A294" s="74" t="s">
        <v>34</v>
      </c>
      <c r="B294" s="64">
        <v>15.5</v>
      </c>
      <c r="C294" s="38">
        <v>1</v>
      </c>
      <c r="D294" s="36" t="s">
        <v>13</v>
      </c>
      <c r="E294" s="57" t="s">
        <v>13</v>
      </c>
      <c r="F294" s="37">
        <v>1</v>
      </c>
      <c r="G294" s="23">
        <v>0</v>
      </c>
      <c r="H294" s="38">
        <v>3739</v>
      </c>
      <c r="I294" s="38">
        <v>3810</v>
      </c>
      <c r="J294" s="1"/>
      <c r="K294" s="1"/>
    </row>
    <row r="295" spans="1:11" ht="18.75" customHeight="1">
      <c r="A295" s="74" t="s">
        <v>34</v>
      </c>
      <c r="B295" s="38">
        <v>16</v>
      </c>
      <c r="C295" s="38">
        <v>2</v>
      </c>
      <c r="D295" s="36" t="s">
        <v>13</v>
      </c>
      <c r="E295" s="57" t="s">
        <v>13</v>
      </c>
      <c r="F295" s="37">
        <v>1</v>
      </c>
      <c r="G295" s="23">
        <v>0</v>
      </c>
      <c r="H295" s="38">
        <v>3256</v>
      </c>
      <c r="I295" s="38">
        <v>3325</v>
      </c>
      <c r="J295" s="1"/>
      <c r="K295" s="1"/>
    </row>
    <row r="296" spans="1:11" ht="18.75" customHeight="1">
      <c r="A296" s="74" t="s">
        <v>34</v>
      </c>
      <c r="B296" s="38">
        <v>18</v>
      </c>
      <c r="C296" s="38">
        <v>4</v>
      </c>
      <c r="D296" s="36" t="s">
        <v>13</v>
      </c>
      <c r="E296" s="57" t="s">
        <v>13</v>
      </c>
      <c r="F296" s="37">
        <v>1</v>
      </c>
      <c r="G296" s="23">
        <v>1</v>
      </c>
      <c r="H296" s="38">
        <v>5097</v>
      </c>
      <c r="I296" s="38">
        <v>5159</v>
      </c>
      <c r="J296" s="1"/>
      <c r="K296" s="1"/>
    </row>
    <row r="297" spans="1:11" ht="18.75" customHeight="1">
      <c r="A297" s="74" t="s">
        <v>34</v>
      </c>
      <c r="B297" s="38">
        <v>18</v>
      </c>
      <c r="C297" s="38">
        <v>5</v>
      </c>
      <c r="D297" s="36" t="s">
        <v>14</v>
      </c>
      <c r="E297" s="57" t="s">
        <v>15</v>
      </c>
      <c r="F297" s="37">
        <v>2</v>
      </c>
      <c r="G297" s="23">
        <v>1</v>
      </c>
      <c r="H297" s="38">
        <v>2889</v>
      </c>
      <c r="I297" s="38">
        <v>2952</v>
      </c>
      <c r="J297" s="1">
        <v>2943</v>
      </c>
      <c r="K297" s="1"/>
    </row>
    <row r="298" spans="1:11" ht="18.75" customHeight="1">
      <c r="A298" s="74" t="s">
        <v>35</v>
      </c>
      <c r="B298" s="38">
        <v>8</v>
      </c>
      <c r="C298" s="38">
        <v>1</v>
      </c>
      <c r="D298" s="36" t="s">
        <v>12</v>
      </c>
      <c r="E298" s="57" t="s">
        <v>13</v>
      </c>
      <c r="F298" s="37">
        <v>8</v>
      </c>
      <c r="G298" s="23">
        <v>0</v>
      </c>
      <c r="H298" s="38">
        <v>3287</v>
      </c>
      <c r="I298" s="38">
        <v>3419</v>
      </c>
      <c r="J298" s="1"/>
      <c r="K298" s="1"/>
    </row>
    <row r="299" spans="1:11" ht="18.75" customHeight="1">
      <c r="A299" s="74" t="s">
        <v>35</v>
      </c>
      <c r="B299" s="38">
        <v>10</v>
      </c>
      <c r="C299" s="38">
        <v>1</v>
      </c>
      <c r="D299" s="36" t="s">
        <v>12</v>
      </c>
      <c r="E299" s="57" t="s">
        <v>13</v>
      </c>
      <c r="F299" s="37">
        <v>9</v>
      </c>
      <c r="G299" s="23">
        <v>0</v>
      </c>
      <c r="H299" s="38">
        <v>3561</v>
      </c>
      <c r="I299" s="38">
        <v>3668</v>
      </c>
      <c r="J299" s="1"/>
      <c r="K299" s="1"/>
    </row>
    <row r="300" spans="1:11" ht="18.75" customHeight="1">
      <c r="A300" s="74" t="s">
        <v>35</v>
      </c>
      <c r="B300" s="38">
        <v>13</v>
      </c>
      <c r="C300" s="38">
        <v>1</v>
      </c>
      <c r="D300" s="36" t="s">
        <v>14</v>
      </c>
      <c r="E300" s="57" t="s">
        <v>15</v>
      </c>
      <c r="F300" s="37">
        <v>9</v>
      </c>
      <c r="G300" s="23">
        <v>0</v>
      </c>
      <c r="H300" s="38">
        <v>2754</v>
      </c>
      <c r="I300" s="38">
        <v>2837</v>
      </c>
      <c r="J300" s="1">
        <v>2839</v>
      </c>
      <c r="K300" s="1"/>
    </row>
    <row r="301" spans="1:11" ht="18.75" customHeight="1">
      <c r="A301" s="74" t="s">
        <v>35</v>
      </c>
      <c r="B301" s="38">
        <v>13</v>
      </c>
      <c r="C301" s="38">
        <v>2</v>
      </c>
      <c r="D301" s="36" t="s">
        <v>14</v>
      </c>
      <c r="E301" s="57" t="s">
        <v>15</v>
      </c>
      <c r="F301" s="37">
        <v>8</v>
      </c>
      <c r="G301" s="23">
        <v>0</v>
      </c>
      <c r="H301" s="38">
        <v>3342</v>
      </c>
      <c r="I301" s="38">
        <v>3425</v>
      </c>
      <c r="J301" s="1">
        <v>3372</v>
      </c>
      <c r="K301" s="1"/>
    </row>
    <row r="302" spans="1:11" ht="18.75" customHeight="1">
      <c r="A302" s="74" t="s">
        <v>35</v>
      </c>
      <c r="B302" s="38">
        <v>13</v>
      </c>
      <c r="C302" s="38">
        <v>3</v>
      </c>
      <c r="D302" s="36" t="s">
        <v>14</v>
      </c>
      <c r="E302" s="57" t="s">
        <v>15</v>
      </c>
      <c r="F302" s="37">
        <v>8</v>
      </c>
      <c r="G302" s="23">
        <v>0</v>
      </c>
      <c r="H302" s="38">
        <v>2888</v>
      </c>
      <c r="I302" s="38">
        <v>2972</v>
      </c>
      <c r="J302" s="1">
        <v>2928</v>
      </c>
      <c r="K302" s="1"/>
    </row>
    <row r="303" spans="1:11" ht="18.75" customHeight="1">
      <c r="A303" s="74" t="s">
        <v>35</v>
      </c>
      <c r="B303" s="38">
        <v>12</v>
      </c>
      <c r="C303" s="38">
        <v>1</v>
      </c>
      <c r="D303" s="36" t="s">
        <v>12</v>
      </c>
      <c r="E303" s="57" t="s">
        <v>13</v>
      </c>
      <c r="F303" s="37">
        <v>7</v>
      </c>
      <c r="G303" s="23">
        <v>0</v>
      </c>
      <c r="H303" s="38">
        <v>3862</v>
      </c>
      <c r="I303" s="38">
        <v>3952</v>
      </c>
      <c r="J303" s="1"/>
      <c r="K303" s="1"/>
    </row>
    <row r="304" spans="1:11" ht="18.75" customHeight="1">
      <c r="A304" s="74" t="s">
        <v>35</v>
      </c>
      <c r="B304" s="38">
        <v>12</v>
      </c>
      <c r="C304" s="38">
        <v>2</v>
      </c>
      <c r="D304" s="36" t="s">
        <v>13</v>
      </c>
      <c r="E304" s="57" t="s">
        <v>13</v>
      </c>
      <c r="F304" s="37">
        <v>7</v>
      </c>
      <c r="G304" s="23">
        <v>0</v>
      </c>
      <c r="H304" s="38">
        <v>4109</v>
      </c>
      <c r="I304" s="38">
        <v>4199</v>
      </c>
      <c r="J304" s="1"/>
      <c r="K304" s="1"/>
    </row>
    <row r="305" spans="1:11" ht="18.75" customHeight="1">
      <c r="A305" s="74" t="s">
        <v>35</v>
      </c>
      <c r="B305" s="64">
        <v>12.5</v>
      </c>
      <c r="C305" s="38">
        <v>1</v>
      </c>
      <c r="D305" s="36" t="s">
        <v>13</v>
      </c>
      <c r="E305" s="57" t="s">
        <v>13</v>
      </c>
      <c r="F305" s="37">
        <v>6</v>
      </c>
      <c r="G305" s="23">
        <v>0</v>
      </c>
      <c r="H305" s="38">
        <v>4034</v>
      </c>
      <c r="I305" s="38">
        <v>4121</v>
      </c>
      <c r="J305" s="1"/>
      <c r="K305" s="1"/>
    </row>
    <row r="306" spans="1:11" ht="18.75" customHeight="1">
      <c r="A306" s="74" t="s">
        <v>35</v>
      </c>
      <c r="B306" s="38">
        <v>13</v>
      </c>
      <c r="C306" s="38">
        <v>4</v>
      </c>
      <c r="D306" s="36" t="s">
        <v>13</v>
      </c>
      <c r="E306" s="57" t="s">
        <v>13</v>
      </c>
      <c r="F306" s="37">
        <v>5</v>
      </c>
      <c r="G306" s="23">
        <v>0</v>
      </c>
      <c r="H306" s="38">
        <v>4374</v>
      </c>
      <c r="I306" s="38">
        <v>4456</v>
      </c>
      <c r="J306" s="1"/>
      <c r="K306" s="1"/>
    </row>
    <row r="307" spans="1:11" ht="18.75" customHeight="1">
      <c r="A307" s="74" t="s">
        <v>35</v>
      </c>
      <c r="B307" s="38">
        <v>13</v>
      </c>
      <c r="C307" s="38">
        <v>5</v>
      </c>
      <c r="D307" s="36" t="s">
        <v>13</v>
      </c>
      <c r="E307" s="57" t="s">
        <v>13</v>
      </c>
      <c r="F307" s="37">
        <v>5</v>
      </c>
      <c r="G307" s="23">
        <v>0</v>
      </c>
      <c r="H307" s="38">
        <v>3712</v>
      </c>
      <c r="I307" s="38">
        <v>3795</v>
      </c>
      <c r="J307" s="1"/>
      <c r="K307" s="1"/>
    </row>
    <row r="308" spans="1:11" ht="18.75" customHeight="1">
      <c r="A308" s="74" t="s">
        <v>35</v>
      </c>
      <c r="B308" s="38">
        <v>15</v>
      </c>
      <c r="C308" s="38">
        <v>1</v>
      </c>
      <c r="D308" s="36" t="s">
        <v>14</v>
      </c>
      <c r="E308" s="57" t="s">
        <v>15</v>
      </c>
      <c r="F308" s="37">
        <v>6</v>
      </c>
      <c r="G308" s="23">
        <v>1</v>
      </c>
      <c r="H308" s="38">
        <v>3836</v>
      </c>
      <c r="I308" s="38">
        <v>3909</v>
      </c>
      <c r="J308" s="1">
        <v>3869</v>
      </c>
      <c r="K308" s="1"/>
    </row>
    <row r="309" spans="1:11" ht="18.75" customHeight="1">
      <c r="A309" s="74" t="s">
        <v>35</v>
      </c>
      <c r="B309" s="38">
        <v>15</v>
      </c>
      <c r="C309" s="38">
        <v>2</v>
      </c>
      <c r="D309" s="36" t="s">
        <v>12</v>
      </c>
      <c r="E309" s="57" t="s">
        <v>13</v>
      </c>
      <c r="F309" s="37">
        <v>7</v>
      </c>
      <c r="G309" s="23">
        <v>1</v>
      </c>
      <c r="H309" s="38">
        <v>3110</v>
      </c>
      <c r="I309" s="38">
        <v>3183</v>
      </c>
      <c r="J309" s="1"/>
      <c r="K309" s="1"/>
    </row>
    <row r="310" spans="1:11" ht="18.75" customHeight="1">
      <c r="A310" s="74" t="s">
        <v>35</v>
      </c>
      <c r="B310" s="38">
        <v>15</v>
      </c>
      <c r="C310" s="38">
        <v>3</v>
      </c>
      <c r="D310" s="36" t="s">
        <v>16</v>
      </c>
      <c r="E310" s="57" t="s">
        <v>15</v>
      </c>
      <c r="F310" s="37">
        <v>7</v>
      </c>
      <c r="G310" s="23">
        <v>1</v>
      </c>
      <c r="H310" s="38">
        <v>4253</v>
      </c>
      <c r="I310" s="38">
        <v>4330</v>
      </c>
      <c r="J310" s="1"/>
      <c r="K310" s="1"/>
    </row>
    <row r="311" spans="1:11" ht="18.75" customHeight="1">
      <c r="A311" s="74" t="s">
        <v>35</v>
      </c>
      <c r="B311" s="38">
        <v>15</v>
      </c>
      <c r="C311" s="38">
        <v>4</v>
      </c>
      <c r="D311" s="36" t="s">
        <v>14</v>
      </c>
      <c r="E311" s="57" t="s">
        <v>15</v>
      </c>
      <c r="F311" s="37">
        <v>8</v>
      </c>
      <c r="G311" s="23">
        <v>1</v>
      </c>
      <c r="H311" s="38">
        <v>3863</v>
      </c>
      <c r="I311" s="38">
        <v>3936</v>
      </c>
      <c r="J311" s="1">
        <v>3915</v>
      </c>
      <c r="K311" s="1"/>
    </row>
    <row r="312" spans="1:11" ht="18.75" customHeight="1">
      <c r="A312" s="74" t="s">
        <v>35</v>
      </c>
      <c r="B312" s="38">
        <v>14</v>
      </c>
      <c r="C312" s="38">
        <v>1</v>
      </c>
      <c r="D312" s="36" t="s">
        <v>13</v>
      </c>
      <c r="E312" s="57" t="s">
        <v>13</v>
      </c>
      <c r="F312" s="37">
        <v>6</v>
      </c>
      <c r="G312" s="23">
        <v>0</v>
      </c>
      <c r="H312" s="38">
        <v>3762</v>
      </c>
      <c r="I312" s="38">
        <v>3840</v>
      </c>
      <c r="J312" s="1"/>
      <c r="K312" s="1"/>
    </row>
    <row r="313" spans="1:11" ht="18.75" customHeight="1">
      <c r="A313" s="74" t="s">
        <v>35</v>
      </c>
      <c r="B313" s="64">
        <v>14.5</v>
      </c>
      <c r="C313" s="38">
        <v>1</v>
      </c>
      <c r="D313" s="36" t="s">
        <v>13</v>
      </c>
      <c r="E313" s="57" t="s">
        <v>13</v>
      </c>
      <c r="F313" s="37">
        <v>5</v>
      </c>
      <c r="G313" s="23">
        <v>0</v>
      </c>
      <c r="H313" s="38">
        <v>6185</v>
      </c>
      <c r="I313" s="38">
        <v>6262</v>
      </c>
      <c r="J313" s="1"/>
      <c r="K313" s="1"/>
    </row>
    <row r="314" spans="1:11" ht="18.75" customHeight="1">
      <c r="A314" s="74" t="s">
        <v>35</v>
      </c>
      <c r="B314" s="38">
        <v>15</v>
      </c>
      <c r="C314" s="38">
        <v>5</v>
      </c>
      <c r="D314" s="36" t="s">
        <v>16</v>
      </c>
      <c r="E314" s="57" t="s">
        <v>15</v>
      </c>
      <c r="F314" s="37">
        <v>8</v>
      </c>
      <c r="G314" s="23">
        <v>1</v>
      </c>
      <c r="H314" s="38">
        <v>6094</v>
      </c>
      <c r="I314" s="38">
        <v>6167</v>
      </c>
      <c r="J314" s="1">
        <v>6177</v>
      </c>
      <c r="K314" s="1"/>
    </row>
    <row r="315" spans="1:11" ht="18.75" customHeight="1">
      <c r="A315" s="74" t="s">
        <v>35</v>
      </c>
      <c r="B315" s="38">
        <v>15</v>
      </c>
      <c r="C315" s="38">
        <v>6</v>
      </c>
      <c r="D315" s="36" t="s">
        <v>12</v>
      </c>
      <c r="E315" s="57" t="s">
        <v>13</v>
      </c>
      <c r="F315" s="37">
        <v>7</v>
      </c>
      <c r="G315" s="23">
        <v>1</v>
      </c>
      <c r="H315" s="38">
        <v>4134</v>
      </c>
      <c r="I315" s="38">
        <v>4207</v>
      </c>
      <c r="J315" s="1"/>
      <c r="K315" s="1"/>
    </row>
    <row r="316" spans="1:11" ht="18.75" customHeight="1">
      <c r="A316" s="74" t="s">
        <v>35</v>
      </c>
      <c r="B316" s="38">
        <v>15</v>
      </c>
      <c r="C316" s="38">
        <v>7</v>
      </c>
      <c r="D316" s="36" t="s">
        <v>13</v>
      </c>
      <c r="E316" s="57" t="s">
        <v>13</v>
      </c>
      <c r="F316" s="37">
        <v>7</v>
      </c>
      <c r="G316" s="23">
        <v>1</v>
      </c>
      <c r="H316" s="38">
        <v>3365</v>
      </c>
      <c r="I316" s="38">
        <v>3437</v>
      </c>
      <c r="J316" s="1"/>
      <c r="K316" s="1"/>
    </row>
    <row r="317" spans="1:11" ht="18.75" customHeight="1">
      <c r="A317" s="74" t="s">
        <v>35</v>
      </c>
      <c r="B317" s="38">
        <v>15</v>
      </c>
      <c r="C317" s="38">
        <v>8</v>
      </c>
      <c r="D317" s="36" t="s">
        <v>12</v>
      </c>
      <c r="E317" s="57" t="s">
        <v>13</v>
      </c>
      <c r="F317" s="37">
        <v>7</v>
      </c>
      <c r="G317" s="23">
        <v>1</v>
      </c>
      <c r="H317" s="38">
        <v>4145</v>
      </c>
      <c r="I317" s="38">
        <v>4218</v>
      </c>
      <c r="J317" s="1"/>
      <c r="K317" s="1"/>
    </row>
    <row r="318" spans="1:11" ht="18.75" customHeight="1">
      <c r="A318" s="74" t="s">
        <v>36</v>
      </c>
      <c r="B318" s="38">
        <v>10</v>
      </c>
      <c r="C318" s="38">
        <v>1</v>
      </c>
      <c r="D318" s="36" t="s">
        <v>13</v>
      </c>
      <c r="E318" s="57" t="s">
        <v>13</v>
      </c>
      <c r="F318" s="37">
        <v>4</v>
      </c>
      <c r="G318" s="23">
        <v>0</v>
      </c>
      <c r="H318" s="38">
        <v>3310</v>
      </c>
      <c r="I318" s="38">
        <v>3415</v>
      </c>
      <c r="J318" s="1"/>
      <c r="K318" s="1"/>
    </row>
    <row r="319" spans="1:11" ht="18.75" customHeight="1">
      <c r="A319" s="74" t="s">
        <v>36</v>
      </c>
      <c r="B319" s="38">
        <v>15</v>
      </c>
      <c r="C319" s="38">
        <v>1</v>
      </c>
      <c r="D319" s="36" t="s">
        <v>13</v>
      </c>
      <c r="E319" s="57" t="s">
        <v>13</v>
      </c>
      <c r="F319" s="37">
        <v>5</v>
      </c>
      <c r="G319" s="23">
        <v>0</v>
      </c>
      <c r="H319" s="38">
        <v>4155</v>
      </c>
      <c r="I319" s="38">
        <v>4229</v>
      </c>
      <c r="J319" s="1"/>
      <c r="K319" s="1"/>
    </row>
    <row r="320" spans="1:11" ht="18.75" customHeight="1">
      <c r="A320" s="74" t="s">
        <v>36</v>
      </c>
      <c r="B320" s="38">
        <v>20</v>
      </c>
      <c r="C320" s="38">
        <v>1</v>
      </c>
      <c r="D320" s="36" t="s">
        <v>12</v>
      </c>
      <c r="E320" s="57" t="s">
        <v>13</v>
      </c>
      <c r="F320" s="37">
        <v>6</v>
      </c>
      <c r="G320" s="23">
        <v>0</v>
      </c>
      <c r="H320" s="38">
        <v>4361</v>
      </c>
      <c r="I320" s="38">
        <v>4417</v>
      </c>
      <c r="J320" s="1"/>
      <c r="K320" s="1"/>
    </row>
    <row r="321" spans="1:11" ht="18.75" customHeight="1">
      <c r="A321" s="74" t="s">
        <v>36</v>
      </c>
      <c r="B321" s="38">
        <v>23</v>
      </c>
      <c r="C321" s="38">
        <v>1</v>
      </c>
      <c r="D321" s="36" t="s">
        <v>12</v>
      </c>
      <c r="E321" s="57" t="s">
        <v>13</v>
      </c>
      <c r="F321" s="37">
        <v>7</v>
      </c>
      <c r="G321" s="23">
        <v>0</v>
      </c>
      <c r="H321" s="38">
        <v>2632</v>
      </c>
      <c r="I321" s="38">
        <v>2681</v>
      </c>
      <c r="J321" s="1"/>
      <c r="K321" s="1"/>
    </row>
    <row r="322" spans="1:11" ht="18.75" customHeight="1">
      <c r="A322" s="74" t="s">
        <v>36</v>
      </c>
      <c r="B322" s="38">
        <v>28</v>
      </c>
      <c r="C322" s="38">
        <v>1</v>
      </c>
      <c r="D322" s="36" t="s">
        <v>16</v>
      </c>
      <c r="E322" s="57" t="s">
        <v>15</v>
      </c>
      <c r="F322" s="37">
        <v>10</v>
      </c>
      <c r="G322" s="23">
        <v>0</v>
      </c>
      <c r="H322" s="38">
        <v>4071</v>
      </c>
      <c r="I322" s="38">
        <v>4113</v>
      </c>
      <c r="J322" s="1">
        <v>4120</v>
      </c>
      <c r="K322" s="1"/>
    </row>
    <row r="323" spans="1:11" ht="18.75" customHeight="1">
      <c r="A323" s="74" t="s">
        <v>36</v>
      </c>
      <c r="B323" s="38">
        <v>28</v>
      </c>
      <c r="C323" s="38">
        <v>2</v>
      </c>
      <c r="D323" s="36" t="s">
        <v>16</v>
      </c>
      <c r="E323" s="57" t="s">
        <v>15</v>
      </c>
      <c r="F323" s="37">
        <v>9</v>
      </c>
      <c r="G323" s="23">
        <v>0</v>
      </c>
      <c r="H323" s="38">
        <v>5032</v>
      </c>
      <c r="I323" s="38">
        <v>5074</v>
      </c>
      <c r="J323" s="1">
        <v>5051</v>
      </c>
      <c r="K323" s="1"/>
    </row>
    <row r="324" spans="1:11" ht="18.75" customHeight="1">
      <c r="A324" s="74" t="s">
        <v>36</v>
      </c>
      <c r="B324" s="38">
        <v>26</v>
      </c>
      <c r="C324" s="38">
        <v>1</v>
      </c>
      <c r="D324" s="36" t="s">
        <v>14</v>
      </c>
      <c r="E324" s="57" t="s">
        <v>15</v>
      </c>
      <c r="F324" s="37">
        <v>5</v>
      </c>
      <c r="G324" s="23">
        <v>0</v>
      </c>
      <c r="H324" s="38">
        <v>5114</v>
      </c>
      <c r="I324" s="38">
        <v>5158</v>
      </c>
      <c r="J324" s="1">
        <v>5145</v>
      </c>
      <c r="K324" s="1"/>
    </row>
    <row r="325" spans="1:11" ht="18.75" customHeight="1">
      <c r="A325" s="74" t="s">
        <v>36</v>
      </c>
      <c r="B325" s="38">
        <v>26</v>
      </c>
      <c r="C325" s="38">
        <v>2</v>
      </c>
      <c r="D325" s="36" t="s">
        <v>12</v>
      </c>
      <c r="E325" s="57" t="s">
        <v>13</v>
      </c>
      <c r="F325" s="37">
        <v>5</v>
      </c>
      <c r="G325" s="23">
        <v>0</v>
      </c>
      <c r="H325" s="38">
        <v>4314</v>
      </c>
      <c r="I325" s="38">
        <v>4356</v>
      </c>
      <c r="J325" s="1"/>
      <c r="K325" s="1"/>
    </row>
    <row r="326" spans="1:11" ht="18.75" customHeight="1">
      <c r="A326" s="74" t="s">
        <v>36</v>
      </c>
      <c r="B326" s="64">
        <v>26.5</v>
      </c>
      <c r="C326" s="38">
        <v>1</v>
      </c>
      <c r="D326" s="36" t="s">
        <v>12</v>
      </c>
      <c r="E326" s="57" t="s">
        <v>13</v>
      </c>
      <c r="F326" s="37">
        <v>5</v>
      </c>
      <c r="G326" s="23">
        <v>0</v>
      </c>
      <c r="H326" s="38">
        <v>3489</v>
      </c>
      <c r="I326" s="38">
        <v>3533</v>
      </c>
      <c r="J326" s="1"/>
      <c r="K326" s="1"/>
    </row>
    <row r="327" spans="1:11" ht="18.75" customHeight="1">
      <c r="A327" s="74" t="s">
        <v>36</v>
      </c>
      <c r="B327" s="64">
        <v>27.5</v>
      </c>
      <c r="C327" s="38">
        <v>1</v>
      </c>
      <c r="D327" s="36" t="s">
        <v>12</v>
      </c>
      <c r="E327" s="57" t="s">
        <v>13</v>
      </c>
      <c r="F327" s="37">
        <v>4</v>
      </c>
      <c r="G327" s="23">
        <v>0</v>
      </c>
      <c r="H327" s="38">
        <v>3470</v>
      </c>
      <c r="I327" s="38">
        <v>3512</v>
      </c>
      <c r="J327" s="1"/>
      <c r="K327" s="1"/>
    </row>
    <row r="328" spans="1:11" ht="18.75" customHeight="1">
      <c r="A328" s="74" t="s">
        <v>36</v>
      </c>
      <c r="B328" s="38">
        <v>30</v>
      </c>
      <c r="C328" s="38">
        <v>1</v>
      </c>
      <c r="D328" s="36" t="s">
        <v>12</v>
      </c>
      <c r="E328" s="57" t="s">
        <v>13</v>
      </c>
      <c r="F328" s="37">
        <v>4</v>
      </c>
      <c r="G328" s="23">
        <v>0</v>
      </c>
      <c r="H328" s="38">
        <v>4740</v>
      </c>
      <c r="I328" s="38">
        <v>4779</v>
      </c>
      <c r="J328" s="1"/>
      <c r="K328" s="1"/>
    </row>
    <row r="329" spans="1:11" ht="18.75" customHeight="1">
      <c r="A329" s="74" t="s">
        <v>36</v>
      </c>
      <c r="B329" s="64">
        <v>32.5</v>
      </c>
      <c r="C329" s="38">
        <v>1</v>
      </c>
      <c r="D329" s="36" t="s">
        <v>12</v>
      </c>
      <c r="E329" s="57" t="s">
        <v>13</v>
      </c>
      <c r="F329" s="37">
        <v>4</v>
      </c>
      <c r="G329" s="23">
        <v>0</v>
      </c>
      <c r="H329" s="38">
        <v>4940</v>
      </c>
      <c r="I329" s="38">
        <v>4977</v>
      </c>
      <c r="J329" s="1"/>
      <c r="K329" s="1"/>
    </row>
    <row r="330" spans="1:11" ht="18.75" customHeight="1">
      <c r="A330" s="74" t="s">
        <v>36</v>
      </c>
      <c r="B330" s="38">
        <v>37</v>
      </c>
      <c r="C330" s="38">
        <v>1</v>
      </c>
      <c r="D330" s="36" t="s">
        <v>12</v>
      </c>
      <c r="E330" s="57" t="s">
        <v>13</v>
      </c>
      <c r="F330" s="37">
        <v>4</v>
      </c>
      <c r="G330" s="23">
        <v>0</v>
      </c>
      <c r="H330" s="38">
        <v>3620</v>
      </c>
      <c r="I330" s="38">
        <v>3654</v>
      </c>
      <c r="J330" s="1"/>
      <c r="K330" s="1"/>
    </row>
    <row r="331" spans="1:11" ht="18.75" customHeight="1">
      <c r="A331" s="74" t="s">
        <v>36</v>
      </c>
      <c r="B331" s="38">
        <v>42</v>
      </c>
      <c r="C331" s="38">
        <v>1</v>
      </c>
      <c r="D331" s="36" t="s">
        <v>14</v>
      </c>
      <c r="E331" s="57" t="s">
        <v>15</v>
      </c>
      <c r="F331" s="37">
        <v>4</v>
      </c>
      <c r="G331" s="23">
        <v>0</v>
      </c>
      <c r="H331" s="38">
        <v>4128</v>
      </c>
      <c r="I331" s="38">
        <v>4157</v>
      </c>
      <c r="J331" s="1">
        <v>4160</v>
      </c>
      <c r="K331" s="1"/>
    </row>
    <row r="332" spans="1:11" ht="18.75" customHeight="1">
      <c r="A332" s="74" t="s">
        <v>36</v>
      </c>
      <c r="B332" s="38">
        <v>42</v>
      </c>
      <c r="C332" s="38">
        <v>2</v>
      </c>
      <c r="D332" s="36" t="s">
        <v>12</v>
      </c>
      <c r="E332" s="57" t="s">
        <v>13</v>
      </c>
      <c r="F332" s="37">
        <v>4</v>
      </c>
      <c r="G332" s="23">
        <v>0</v>
      </c>
      <c r="H332" s="38">
        <v>3386</v>
      </c>
      <c r="I332" s="38">
        <v>3417</v>
      </c>
      <c r="J332" s="1"/>
      <c r="K332" s="1"/>
    </row>
    <row r="333" spans="1:11" ht="18.75" customHeight="1">
      <c r="A333" s="74" t="s">
        <v>36</v>
      </c>
      <c r="B333" s="38">
        <v>45</v>
      </c>
      <c r="C333" s="38">
        <v>1</v>
      </c>
      <c r="D333" s="36" t="s">
        <v>14</v>
      </c>
      <c r="E333" s="57" t="s">
        <v>15</v>
      </c>
      <c r="F333" s="37">
        <v>6</v>
      </c>
      <c r="G333" s="23">
        <v>0</v>
      </c>
      <c r="H333" s="38">
        <v>3229</v>
      </c>
      <c r="I333" s="38">
        <v>3257</v>
      </c>
      <c r="J333" s="1">
        <v>3260</v>
      </c>
      <c r="K333" s="1"/>
    </row>
    <row r="334" spans="1:11" ht="18.75" customHeight="1">
      <c r="A334" s="74" t="s">
        <v>36</v>
      </c>
      <c r="B334" s="38">
        <v>45</v>
      </c>
      <c r="C334" s="38">
        <v>2</v>
      </c>
      <c r="D334" s="36" t="s">
        <v>12</v>
      </c>
      <c r="E334" s="57" t="s">
        <v>13</v>
      </c>
      <c r="F334" s="37">
        <v>6</v>
      </c>
      <c r="G334" s="23">
        <v>0</v>
      </c>
      <c r="H334" s="38">
        <v>2477</v>
      </c>
      <c r="I334" s="38">
        <v>2505</v>
      </c>
      <c r="J334" s="1"/>
      <c r="K334" s="1"/>
    </row>
    <row r="335" spans="1:11" ht="18.75" customHeight="1">
      <c r="A335" s="74" t="s">
        <v>36</v>
      </c>
      <c r="B335" s="38">
        <v>50</v>
      </c>
      <c r="C335" s="38">
        <v>1</v>
      </c>
      <c r="D335" s="36" t="s">
        <v>16</v>
      </c>
      <c r="E335" s="57" t="s">
        <v>15</v>
      </c>
      <c r="F335" s="37">
        <v>4</v>
      </c>
      <c r="G335" s="23">
        <v>0</v>
      </c>
      <c r="H335" s="38">
        <v>2909</v>
      </c>
      <c r="I335" s="38">
        <v>2936</v>
      </c>
      <c r="J335" s="1">
        <v>2939</v>
      </c>
      <c r="K335" s="1"/>
    </row>
    <row r="336" spans="1:11" ht="18.75" customHeight="1">
      <c r="A336" s="74" t="s">
        <v>36</v>
      </c>
      <c r="B336" s="38">
        <v>50</v>
      </c>
      <c r="C336" s="38">
        <v>2</v>
      </c>
      <c r="D336" s="36" t="s">
        <v>14</v>
      </c>
      <c r="E336" s="57" t="s">
        <v>15</v>
      </c>
      <c r="F336" s="37">
        <v>4</v>
      </c>
      <c r="G336" s="23">
        <v>0</v>
      </c>
      <c r="H336" s="38">
        <v>5031</v>
      </c>
      <c r="I336" s="38">
        <v>5057</v>
      </c>
      <c r="J336" s="1">
        <v>5115</v>
      </c>
      <c r="K336" s="1"/>
    </row>
    <row r="337" spans="1:11" ht="18.75" customHeight="1">
      <c r="A337" s="75" t="s">
        <v>36</v>
      </c>
      <c r="B337" s="38">
        <v>50</v>
      </c>
      <c r="C337" s="38">
        <v>3</v>
      </c>
      <c r="D337" s="39" t="s">
        <v>12</v>
      </c>
      <c r="E337" s="57" t="s">
        <v>13</v>
      </c>
      <c r="F337" s="40">
        <v>3</v>
      </c>
      <c r="G337" s="23">
        <v>0</v>
      </c>
      <c r="H337" s="41">
        <v>2155</v>
      </c>
      <c r="I337" s="41">
        <v>2180</v>
      </c>
      <c r="J337" s="1"/>
      <c r="K337" s="1"/>
    </row>
    <row r="338" spans="1:11" ht="18.75" customHeight="1">
      <c r="A338" s="75" t="s">
        <v>37</v>
      </c>
      <c r="B338" s="41">
        <v>70</v>
      </c>
      <c r="C338" s="41">
        <v>1</v>
      </c>
      <c r="D338" s="42" t="s">
        <v>12</v>
      </c>
      <c r="E338" s="57" t="s">
        <v>13</v>
      </c>
      <c r="F338" s="40">
        <v>5</v>
      </c>
      <c r="G338" s="23">
        <v>0</v>
      </c>
      <c r="H338" s="41">
        <v>2042</v>
      </c>
      <c r="I338" s="41">
        <v>2061</v>
      </c>
      <c r="J338" s="1"/>
      <c r="K338" s="1"/>
    </row>
    <row r="339" spans="1:11" ht="18.75" customHeight="1">
      <c r="A339" s="75" t="s">
        <v>37</v>
      </c>
      <c r="B339" s="41">
        <v>70</v>
      </c>
      <c r="C339" s="41">
        <v>2</v>
      </c>
      <c r="D339" s="42" t="s">
        <v>14</v>
      </c>
      <c r="E339" s="57" t="s">
        <v>15</v>
      </c>
      <c r="F339" s="40">
        <v>7</v>
      </c>
      <c r="G339" s="23">
        <v>0</v>
      </c>
      <c r="H339" s="41">
        <v>2421</v>
      </c>
      <c r="I339" s="41">
        <v>2440</v>
      </c>
      <c r="J339" s="1">
        <v>2501</v>
      </c>
      <c r="K339" s="1"/>
    </row>
    <row r="340" spans="1:11" ht="18.75" customHeight="1">
      <c r="A340" s="75" t="s">
        <v>37</v>
      </c>
      <c r="B340" s="41">
        <v>70</v>
      </c>
      <c r="C340" s="41">
        <v>3</v>
      </c>
      <c r="D340" s="42" t="s">
        <v>14</v>
      </c>
      <c r="E340" s="57" t="s">
        <v>15</v>
      </c>
      <c r="F340" s="40">
        <v>7</v>
      </c>
      <c r="G340" s="23">
        <v>0</v>
      </c>
      <c r="H340" s="41">
        <v>2698</v>
      </c>
      <c r="I340" s="41">
        <v>2717</v>
      </c>
      <c r="J340" s="1">
        <v>2780</v>
      </c>
      <c r="K340" s="1"/>
    </row>
    <row r="341" spans="1:11" ht="18.75" customHeight="1">
      <c r="A341" s="75" t="s">
        <v>37</v>
      </c>
      <c r="B341" s="41">
        <v>65</v>
      </c>
      <c r="C341" s="41">
        <v>1</v>
      </c>
      <c r="D341" s="42" t="s">
        <v>16</v>
      </c>
      <c r="E341" s="57" t="s">
        <v>15</v>
      </c>
      <c r="F341" s="40">
        <v>6</v>
      </c>
      <c r="G341" s="23">
        <v>0</v>
      </c>
      <c r="H341" s="41">
        <v>1676</v>
      </c>
      <c r="I341" s="41">
        <v>1696</v>
      </c>
      <c r="J341" s="1">
        <v>1735</v>
      </c>
      <c r="K341" s="1"/>
    </row>
    <row r="342" spans="1:11" ht="18.75" customHeight="1">
      <c r="A342" s="75" t="s">
        <v>37</v>
      </c>
      <c r="B342" s="41">
        <v>65</v>
      </c>
      <c r="C342" s="41">
        <v>2</v>
      </c>
      <c r="D342" s="42" t="s">
        <v>12</v>
      </c>
      <c r="E342" s="57" t="s">
        <v>13</v>
      </c>
      <c r="F342" s="40">
        <v>4</v>
      </c>
      <c r="G342" s="23">
        <v>0</v>
      </c>
      <c r="H342" s="41">
        <v>2434</v>
      </c>
      <c r="I342" s="41">
        <v>2455</v>
      </c>
      <c r="J342" s="1"/>
      <c r="K342" s="1"/>
    </row>
    <row r="343" spans="1:11" ht="18.75" customHeight="1">
      <c r="A343" s="75" t="s">
        <v>37</v>
      </c>
      <c r="B343" s="41">
        <v>65</v>
      </c>
      <c r="C343" s="41">
        <v>3</v>
      </c>
      <c r="D343" s="42" t="s">
        <v>12</v>
      </c>
      <c r="E343" s="57" t="s">
        <v>13</v>
      </c>
      <c r="F343" s="40">
        <v>4</v>
      </c>
      <c r="G343" s="23">
        <v>0</v>
      </c>
      <c r="H343" s="41">
        <v>2830</v>
      </c>
      <c r="I343" s="41">
        <v>2850</v>
      </c>
      <c r="J343" s="1"/>
      <c r="K343" s="1"/>
    </row>
    <row r="344" spans="1:11" ht="18.75" customHeight="1">
      <c r="A344" s="75" t="s">
        <v>37</v>
      </c>
      <c r="B344" s="41">
        <v>70</v>
      </c>
      <c r="C344" s="41">
        <v>4</v>
      </c>
      <c r="D344" s="42" t="s">
        <v>14</v>
      </c>
      <c r="E344" s="57" t="s">
        <v>15</v>
      </c>
      <c r="F344" s="40">
        <v>6</v>
      </c>
      <c r="G344" s="23">
        <v>0</v>
      </c>
      <c r="H344" s="41">
        <v>2566</v>
      </c>
      <c r="I344" s="41">
        <v>2585</v>
      </c>
      <c r="J344" s="1">
        <v>2651</v>
      </c>
      <c r="K344" s="1"/>
    </row>
    <row r="345" spans="1:11" ht="18.75" customHeight="1">
      <c r="A345" s="75" t="s">
        <v>37</v>
      </c>
      <c r="B345" s="41">
        <v>70</v>
      </c>
      <c r="C345" s="41">
        <v>5</v>
      </c>
      <c r="D345" s="42" t="s">
        <v>12</v>
      </c>
      <c r="E345" s="57" t="s">
        <v>13</v>
      </c>
      <c r="F345" s="40">
        <v>3</v>
      </c>
      <c r="G345" s="23">
        <v>0</v>
      </c>
      <c r="H345" s="41">
        <v>2347</v>
      </c>
      <c r="I345" s="41">
        <v>2366</v>
      </c>
      <c r="J345" s="1"/>
      <c r="K345" s="1"/>
    </row>
    <row r="346" spans="1:11" ht="18.75" customHeight="1">
      <c r="A346" s="75" t="s">
        <v>37</v>
      </c>
      <c r="B346" s="41">
        <v>75</v>
      </c>
      <c r="C346" s="41">
        <v>1</v>
      </c>
      <c r="D346" s="42" t="s">
        <v>12</v>
      </c>
      <c r="E346" s="57" t="s">
        <v>13</v>
      </c>
      <c r="F346" s="40">
        <v>3</v>
      </c>
      <c r="G346" s="23">
        <v>0</v>
      </c>
      <c r="H346" s="41">
        <v>2365</v>
      </c>
      <c r="I346" s="41">
        <v>2383</v>
      </c>
      <c r="J346" s="1"/>
      <c r="K346" s="1"/>
    </row>
    <row r="347" spans="1:11" ht="18.75" customHeight="1">
      <c r="A347" s="75" t="s">
        <v>37</v>
      </c>
      <c r="B347" s="41">
        <v>85</v>
      </c>
      <c r="C347" s="41">
        <v>1</v>
      </c>
      <c r="D347" s="42" t="s">
        <v>16</v>
      </c>
      <c r="E347" s="57" t="s">
        <v>15</v>
      </c>
      <c r="F347" s="40">
        <v>6</v>
      </c>
      <c r="G347" s="23">
        <v>0</v>
      </c>
      <c r="H347" s="41">
        <v>1245</v>
      </c>
      <c r="I347" s="41">
        <v>1261</v>
      </c>
      <c r="J347" s="1">
        <v>1307</v>
      </c>
      <c r="K347" s="1"/>
    </row>
    <row r="348" spans="1:11" ht="18.75" customHeight="1">
      <c r="A348" s="75" t="s">
        <v>37</v>
      </c>
      <c r="B348" s="41">
        <v>85</v>
      </c>
      <c r="C348" s="41">
        <v>2</v>
      </c>
      <c r="D348" s="42" t="s">
        <v>12</v>
      </c>
      <c r="E348" s="57" t="s">
        <v>13</v>
      </c>
      <c r="F348" s="40">
        <v>3</v>
      </c>
      <c r="G348" s="23">
        <v>0</v>
      </c>
      <c r="H348" s="41">
        <v>1840</v>
      </c>
      <c r="I348" s="41">
        <v>1855</v>
      </c>
      <c r="J348" s="1"/>
      <c r="K348" s="1"/>
    </row>
    <row r="349" spans="1:11" ht="18.75" customHeight="1">
      <c r="A349" s="75" t="s">
        <v>37</v>
      </c>
      <c r="B349" s="41">
        <v>100</v>
      </c>
      <c r="C349" s="41">
        <v>1</v>
      </c>
      <c r="D349" s="42" t="s">
        <v>12</v>
      </c>
      <c r="E349" s="57" t="s">
        <v>13</v>
      </c>
      <c r="F349" s="40">
        <v>2</v>
      </c>
      <c r="G349" s="23">
        <v>0</v>
      </c>
      <c r="H349" s="41">
        <v>1984</v>
      </c>
      <c r="I349" s="41">
        <v>1999</v>
      </c>
      <c r="J349" s="1"/>
      <c r="K349" s="1"/>
    </row>
    <row r="350" spans="1:11" ht="18.75" customHeight="1">
      <c r="A350" s="75" t="s">
        <v>37</v>
      </c>
      <c r="B350" s="41">
        <v>120</v>
      </c>
      <c r="C350" s="41">
        <v>1</v>
      </c>
      <c r="D350" s="42" t="s">
        <v>16</v>
      </c>
      <c r="E350" s="57" t="s">
        <v>15</v>
      </c>
      <c r="F350" s="40">
        <v>3</v>
      </c>
      <c r="G350" s="23">
        <v>0</v>
      </c>
      <c r="H350" s="41">
        <v>2176</v>
      </c>
      <c r="I350" s="41">
        <v>2189</v>
      </c>
      <c r="J350" s="1">
        <v>2233</v>
      </c>
      <c r="K350" s="1"/>
    </row>
    <row r="351" spans="1:11" ht="18.75" customHeight="1">
      <c r="A351" s="75" t="s">
        <v>37</v>
      </c>
      <c r="B351" s="41">
        <v>120</v>
      </c>
      <c r="C351" s="41">
        <v>2</v>
      </c>
      <c r="D351" s="42" t="s">
        <v>16</v>
      </c>
      <c r="E351" s="57" t="s">
        <v>15</v>
      </c>
      <c r="F351" s="40">
        <v>3</v>
      </c>
      <c r="G351" s="23">
        <v>0</v>
      </c>
      <c r="H351" s="41">
        <v>1865</v>
      </c>
      <c r="I351" s="41">
        <v>1879</v>
      </c>
      <c r="J351" s="1">
        <v>1963</v>
      </c>
      <c r="K351" s="1"/>
    </row>
    <row r="352" spans="1:11" ht="18.75" customHeight="1">
      <c r="A352" s="75" t="s">
        <v>37</v>
      </c>
      <c r="B352" s="41">
        <v>110</v>
      </c>
      <c r="C352" s="41">
        <v>1</v>
      </c>
      <c r="D352" s="42" t="s">
        <v>14</v>
      </c>
      <c r="E352" s="57" t="s">
        <v>15</v>
      </c>
      <c r="F352" s="40">
        <v>5</v>
      </c>
      <c r="G352" s="23">
        <v>1</v>
      </c>
      <c r="H352" s="41">
        <v>2113</v>
      </c>
      <c r="I352" s="41">
        <v>2128</v>
      </c>
      <c r="J352" s="1">
        <v>2207</v>
      </c>
      <c r="K352" s="1"/>
    </row>
    <row r="353" spans="1:11" ht="18.75" customHeight="1">
      <c r="A353" s="75" t="s">
        <v>37</v>
      </c>
      <c r="B353" s="41">
        <v>110</v>
      </c>
      <c r="C353" s="41">
        <v>2</v>
      </c>
      <c r="D353" s="42" t="s">
        <v>12</v>
      </c>
      <c r="E353" s="57" t="s">
        <v>13</v>
      </c>
      <c r="F353" s="40">
        <v>2</v>
      </c>
      <c r="G353" s="23">
        <v>1</v>
      </c>
      <c r="H353" s="41">
        <v>2089</v>
      </c>
      <c r="I353" s="41">
        <v>2103</v>
      </c>
      <c r="J353" s="1"/>
      <c r="K353" s="1"/>
    </row>
    <row r="354" spans="1:11" ht="18.75" customHeight="1">
      <c r="A354" s="75" t="s">
        <v>37</v>
      </c>
      <c r="B354" s="41">
        <v>110</v>
      </c>
      <c r="C354" s="41">
        <v>3</v>
      </c>
      <c r="D354" s="42" t="s">
        <v>16</v>
      </c>
      <c r="E354" s="57" t="s">
        <v>15</v>
      </c>
      <c r="F354" s="40">
        <v>4</v>
      </c>
      <c r="G354" s="23">
        <v>1</v>
      </c>
      <c r="H354" s="41">
        <v>3077</v>
      </c>
      <c r="I354" s="41">
        <v>3091</v>
      </c>
      <c r="J354" s="1">
        <v>3176</v>
      </c>
      <c r="K354" s="1"/>
    </row>
    <row r="355" spans="1:11" ht="18.75" customHeight="1">
      <c r="A355" s="75" t="s">
        <v>37</v>
      </c>
      <c r="B355" s="41">
        <v>110</v>
      </c>
      <c r="C355" s="41">
        <v>4</v>
      </c>
      <c r="D355" s="42" t="s">
        <v>12</v>
      </c>
      <c r="E355" s="57" t="s">
        <v>13</v>
      </c>
      <c r="F355" s="40">
        <v>3</v>
      </c>
      <c r="G355" s="23">
        <v>1</v>
      </c>
      <c r="H355" s="41">
        <v>3192</v>
      </c>
      <c r="I355" s="41">
        <v>3206</v>
      </c>
      <c r="J355" s="1"/>
      <c r="K355" s="1"/>
    </row>
    <row r="356" spans="1:11" ht="18.75" customHeight="1">
      <c r="A356" s="75" t="s">
        <v>37</v>
      </c>
      <c r="B356" s="41">
        <v>110</v>
      </c>
      <c r="C356" s="41">
        <v>5</v>
      </c>
      <c r="D356" s="42" t="s">
        <v>16</v>
      </c>
      <c r="E356" s="57" t="s">
        <v>15</v>
      </c>
      <c r="F356" s="40">
        <v>4</v>
      </c>
      <c r="G356" s="23">
        <v>1</v>
      </c>
      <c r="H356" s="41">
        <v>2637</v>
      </c>
      <c r="I356" s="41">
        <v>2650</v>
      </c>
      <c r="J356" s="1">
        <v>2690</v>
      </c>
      <c r="K356" s="1"/>
    </row>
    <row r="357" spans="1:11" ht="18.75" customHeight="1">
      <c r="A357" s="75" t="s">
        <v>37</v>
      </c>
      <c r="B357" s="41">
        <v>110</v>
      </c>
      <c r="C357" s="41">
        <v>6</v>
      </c>
      <c r="D357" s="42" t="s">
        <v>16</v>
      </c>
      <c r="E357" s="57" t="s">
        <v>15</v>
      </c>
      <c r="F357" s="40">
        <v>5</v>
      </c>
      <c r="G357" s="23">
        <v>1</v>
      </c>
      <c r="H357" s="41">
        <v>2848</v>
      </c>
      <c r="I357" s="41">
        <v>2862</v>
      </c>
      <c r="J357" s="1">
        <v>2900</v>
      </c>
      <c r="K357" s="1"/>
    </row>
    <row r="358" spans="1:11" ht="18.75" customHeight="1">
      <c r="A358" s="75" t="s">
        <v>37</v>
      </c>
      <c r="B358" s="41">
        <v>105</v>
      </c>
      <c r="C358" s="41">
        <v>1</v>
      </c>
      <c r="D358" s="42" t="s">
        <v>16</v>
      </c>
      <c r="E358" s="57" t="s">
        <v>15</v>
      </c>
      <c r="F358" s="40">
        <v>4</v>
      </c>
      <c r="G358" s="23">
        <v>0</v>
      </c>
      <c r="H358" s="41">
        <v>2627</v>
      </c>
      <c r="I358" s="41">
        <v>2642</v>
      </c>
      <c r="J358" s="1">
        <v>2677</v>
      </c>
      <c r="K358" s="1"/>
    </row>
    <row r="359" spans="1:11" ht="18.75" customHeight="1">
      <c r="A359" s="75" t="s">
        <v>38</v>
      </c>
      <c r="B359" s="41">
        <v>10</v>
      </c>
      <c r="C359" s="41">
        <v>1</v>
      </c>
      <c r="D359" s="42" t="s">
        <v>13</v>
      </c>
      <c r="E359" s="43" t="s">
        <v>13</v>
      </c>
      <c r="F359" s="40">
        <v>1</v>
      </c>
      <c r="G359" s="23">
        <v>0</v>
      </c>
      <c r="H359" s="41">
        <v>2122</v>
      </c>
      <c r="I359" s="41">
        <v>2230</v>
      </c>
      <c r="J359" s="1"/>
      <c r="K359" s="1"/>
    </row>
    <row r="360" spans="1:11" ht="18.75" customHeight="1">
      <c r="A360" s="75" t="s">
        <v>38</v>
      </c>
      <c r="B360" s="41">
        <v>110</v>
      </c>
      <c r="C360" s="41">
        <v>1</v>
      </c>
      <c r="D360" s="42" t="s">
        <v>14</v>
      </c>
      <c r="E360" s="43" t="s">
        <v>15</v>
      </c>
      <c r="F360" s="40">
        <v>7</v>
      </c>
      <c r="G360" s="23">
        <v>0</v>
      </c>
      <c r="H360" s="41">
        <v>1565</v>
      </c>
      <c r="I360" s="41">
        <v>1580</v>
      </c>
      <c r="J360" s="1">
        <v>1606</v>
      </c>
      <c r="K360" s="1"/>
    </row>
    <row r="361" spans="1:11" ht="18.75" customHeight="1">
      <c r="A361" s="75" t="s">
        <v>38</v>
      </c>
      <c r="B361" s="41">
        <v>110</v>
      </c>
      <c r="C361" s="41">
        <v>2</v>
      </c>
      <c r="D361" s="42" t="s">
        <v>16</v>
      </c>
      <c r="E361" s="43" t="s">
        <v>15</v>
      </c>
      <c r="F361" s="40">
        <v>6</v>
      </c>
      <c r="G361" s="23">
        <v>0</v>
      </c>
      <c r="H361" s="41">
        <v>1279</v>
      </c>
      <c r="I361" s="41">
        <v>1294</v>
      </c>
      <c r="J361" s="1">
        <v>1319</v>
      </c>
      <c r="K361" s="1"/>
    </row>
    <row r="362" spans="1:11" ht="18.75" customHeight="1">
      <c r="A362" s="75" t="s">
        <v>38</v>
      </c>
      <c r="B362" s="41">
        <v>100</v>
      </c>
      <c r="C362" s="41">
        <v>1</v>
      </c>
      <c r="D362" s="42" t="s">
        <v>16</v>
      </c>
      <c r="E362" s="43" t="s">
        <v>15</v>
      </c>
      <c r="F362" s="40">
        <v>7</v>
      </c>
      <c r="G362" s="23">
        <v>0</v>
      </c>
      <c r="H362" s="41">
        <v>1819</v>
      </c>
      <c r="I362" s="41">
        <v>1834</v>
      </c>
      <c r="J362" s="1">
        <v>1843</v>
      </c>
      <c r="K362" s="1"/>
    </row>
    <row r="363" spans="1:11" ht="18.75" customHeight="1">
      <c r="A363" s="75" t="s">
        <v>38</v>
      </c>
      <c r="B363" s="41">
        <v>90</v>
      </c>
      <c r="C363" s="41">
        <v>1</v>
      </c>
      <c r="D363" s="42" t="s">
        <v>16</v>
      </c>
      <c r="E363" s="43" t="s">
        <v>15</v>
      </c>
      <c r="F363" s="40">
        <v>7</v>
      </c>
      <c r="G363" s="23">
        <v>0</v>
      </c>
      <c r="H363" s="41">
        <v>1772</v>
      </c>
      <c r="I363" s="41">
        <v>1789</v>
      </c>
      <c r="J363" s="1">
        <v>1820</v>
      </c>
      <c r="K363" s="1"/>
    </row>
    <row r="364" spans="1:11" ht="18.75" customHeight="1">
      <c r="A364" s="75" t="s">
        <v>38</v>
      </c>
      <c r="B364" s="41">
        <v>90</v>
      </c>
      <c r="C364" s="41">
        <v>2</v>
      </c>
      <c r="D364" s="42" t="s">
        <v>16</v>
      </c>
      <c r="E364" s="43" t="s">
        <v>15</v>
      </c>
      <c r="F364" s="40">
        <v>6</v>
      </c>
      <c r="G364" s="23">
        <v>0</v>
      </c>
      <c r="H364" s="41">
        <v>2203</v>
      </c>
      <c r="I364" s="41">
        <v>2219</v>
      </c>
      <c r="J364" s="1">
        <v>2230</v>
      </c>
      <c r="K364" s="1"/>
    </row>
    <row r="365" spans="1:11" ht="18.75" customHeight="1">
      <c r="A365" s="75" t="s">
        <v>38</v>
      </c>
      <c r="B365" s="41">
        <v>75</v>
      </c>
      <c r="C365" s="41">
        <v>1</v>
      </c>
      <c r="D365" s="42" t="s">
        <v>12</v>
      </c>
      <c r="E365" s="43" t="s">
        <v>13</v>
      </c>
      <c r="F365" s="40">
        <v>5</v>
      </c>
      <c r="G365" s="23">
        <v>0</v>
      </c>
      <c r="H365" s="41">
        <v>1251</v>
      </c>
      <c r="I365" s="41">
        <v>1270</v>
      </c>
      <c r="J365" s="1"/>
      <c r="K365" s="1"/>
    </row>
    <row r="366" spans="1:11" ht="18.75" customHeight="1">
      <c r="A366" s="75" t="s">
        <v>38</v>
      </c>
      <c r="B366" s="41">
        <v>85</v>
      </c>
      <c r="C366" s="41">
        <v>1</v>
      </c>
      <c r="D366" s="42" t="s">
        <v>16</v>
      </c>
      <c r="E366" s="43" t="s">
        <v>15</v>
      </c>
      <c r="F366" s="40">
        <v>7</v>
      </c>
      <c r="G366" s="23">
        <v>0</v>
      </c>
      <c r="H366" s="41">
        <v>1732</v>
      </c>
      <c r="I366" s="41">
        <v>1748</v>
      </c>
      <c r="J366" s="1">
        <v>1757</v>
      </c>
      <c r="K366" s="1"/>
    </row>
    <row r="367" spans="1:11" ht="18.75" customHeight="1">
      <c r="A367" s="75" t="s">
        <v>38</v>
      </c>
      <c r="B367" s="41">
        <v>85</v>
      </c>
      <c r="C367" s="41">
        <v>2</v>
      </c>
      <c r="D367" s="42" t="s">
        <v>16</v>
      </c>
      <c r="E367" s="43" t="s">
        <v>15</v>
      </c>
      <c r="F367" s="40">
        <v>8</v>
      </c>
      <c r="G367" s="23">
        <v>0</v>
      </c>
      <c r="H367" s="41">
        <v>1918</v>
      </c>
      <c r="I367" s="41">
        <v>1936</v>
      </c>
      <c r="J367" s="1">
        <v>1943</v>
      </c>
      <c r="K367" s="1"/>
    </row>
    <row r="368" spans="1:11" ht="18.75" customHeight="1">
      <c r="A368" s="75" t="s">
        <v>38</v>
      </c>
      <c r="B368" s="41">
        <v>80</v>
      </c>
      <c r="C368" s="41">
        <v>1</v>
      </c>
      <c r="D368" s="42" t="s">
        <v>16</v>
      </c>
      <c r="E368" s="43" t="s">
        <v>15</v>
      </c>
      <c r="F368" s="40">
        <v>8</v>
      </c>
      <c r="G368" s="23">
        <v>0</v>
      </c>
      <c r="H368" s="41">
        <v>2192</v>
      </c>
      <c r="I368" s="41">
        <v>2209</v>
      </c>
      <c r="J368" s="1">
        <v>2245</v>
      </c>
      <c r="K368" s="1"/>
    </row>
    <row r="369" spans="1:11" ht="18.75" customHeight="1">
      <c r="A369" s="75" t="s">
        <v>38</v>
      </c>
      <c r="B369" s="41">
        <v>80</v>
      </c>
      <c r="C369" s="41">
        <v>2</v>
      </c>
      <c r="D369" s="42" t="s">
        <v>16</v>
      </c>
      <c r="E369" s="43" t="s">
        <v>15</v>
      </c>
      <c r="F369" s="40">
        <v>7</v>
      </c>
      <c r="G369" s="23">
        <v>0</v>
      </c>
      <c r="H369" s="41">
        <v>1760</v>
      </c>
      <c r="I369" s="41">
        <v>1779</v>
      </c>
      <c r="J369" s="1">
        <v>1787</v>
      </c>
      <c r="K369" s="1"/>
    </row>
    <row r="370" spans="1:11" ht="18.75" customHeight="1">
      <c r="A370" s="75" t="s">
        <v>38</v>
      </c>
      <c r="B370" s="41">
        <v>75</v>
      </c>
      <c r="C370" s="41">
        <v>2</v>
      </c>
      <c r="D370" s="42" t="s">
        <v>16</v>
      </c>
      <c r="E370" s="43" t="s">
        <v>15</v>
      </c>
      <c r="F370" s="40">
        <v>8</v>
      </c>
      <c r="G370" s="23">
        <v>0</v>
      </c>
      <c r="H370" s="41">
        <v>1887</v>
      </c>
      <c r="I370" s="41">
        <v>1907</v>
      </c>
      <c r="J370" s="1">
        <v>1913</v>
      </c>
      <c r="K370" s="1"/>
    </row>
    <row r="371" spans="1:11" ht="18.75" customHeight="1">
      <c r="A371" s="75" t="s">
        <v>38</v>
      </c>
      <c r="B371" s="41">
        <v>70</v>
      </c>
      <c r="C371" s="41">
        <v>1</v>
      </c>
      <c r="D371" s="42" t="s">
        <v>16</v>
      </c>
      <c r="E371" s="43" t="s">
        <v>15</v>
      </c>
      <c r="F371" s="40">
        <v>7</v>
      </c>
      <c r="G371" s="23">
        <v>0</v>
      </c>
      <c r="H371" s="41">
        <v>2141</v>
      </c>
      <c r="I371" s="41">
        <v>2162</v>
      </c>
      <c r="J371" s="1">
        <v>2166</v>
      </c>
      <c r="K371" s="1"/>
    </row>
    <row r="372" spans="1:11" ht="18.75" customHeight="1">
      <c r="A372" s="75" t="s">
        <v>38</v>
      </c>
      <c r="B372" s="41">
        <v>50</v>
      </c>
      <c r="C372" s="41">
        <v>1</v>
      </c>
      <c r="D372" s="42" t="s">
        <v>16</v>
      </c>
      <c r="E372" s="43" t="s">
        <v>15</v>
      </c>
      <c r="F372" s="40">
        <v>6</v>
      </c>
      <c r="G372" s="23">
        <v>0</v>
      </c>
      <c r="H372" s="41">
        <v>1949</v>
      </c>
      <c r="I372" s="41">
        <v>1974</v>
      </c>
      <c r="J372" s="1">
        <v>1993</v>
      </c>
      <c r="K372" s="1"/>
    </row>
    <row r="373" spans="1:11" ht="18.75" customHeight="1">
      <c r="A373" s="75" t="s">
        <v>38</v>
      </c>
      <c r="B373" s="44">
        <v>50</v>
      </c>
      <c r="C373" s="44">
        <v>2</v>
      </c>
      <c r="D373" s="42" t="s">
        <v>16</v>
      </c>
      <c r="E373" s="45" t="s">
        <v>15</v>
      </c>
      <c r="F373" s="46">
        <v>6</v>
      </c>
      <c r="G373" s="23">
        <v>0</v>
      </c>
      <c r="H373" s="44">
        <v>2100</v>
      </c>
      <c r="I373" s="44">
        <v>2126</v>
      </c>
      <c r="J373" s="1">
        <v>2128</v>
      </c>
      <c r="K373" s="1"/>
    </row>
    <row r="374" spans="1:11" ht="18.75" customHeight="1">
      <c r="A374" s="75" t="s">
        <v>38</v>
      </c>
      <c r="B374" s="41">
        <v>40</v>
      </c>
      <c r="C374" s="41">
        <v>1</v>
      </c>
      <c r="D374" s="42" t="s">
        <v>16</v>
      </c>
      <c r="E374" s="43" t="s">
        <v>15</v>
      </c>
      <c r="F374" s="40">
        <v>4</v>
      </c>
      <c r="G374" s="23">
        <v>0</v>
      </c>
      <c r="H374" s="44">
        <v>1929</v>
      </c>
      <c r="I374" s="44">
        <v>1960</v>
      </c>
      <c r="J374" s="1">
        <v>1962</v>
      </c>
      <c r="K374" s="1"/>
    </row>
    <row r="375" spans="1:11" ht="18.75" customHeight="1">
      <c r="A375" s="75" t="s">
        <v>38</v>
      </c>
      <c r="B375" s="41">
        <v>30</v>
      </c>
      <c r="C375" s="41">
        <v>1</v>
      </c>
      <c r="D375" s="42" t="s">
        <v>16</v>
      </c>
      <c r="E375" s="43" t="s">
        <v>15</v>
      </c>
      <c r="F375" s="40">
        <v>3</v>
      </c>
      <c r="G375" s="23">
        <v>0</v>
      </c>
      <c r="H375" s="44">
        <v>1362</v>
      </c>
      <c r="I375" s="44">
        <v>1400</v>
      </c>
      <c r="J375" s="1">
        <v>1413</v>
      </c>
      <c r="K375" s="1"/>
    </row>
    <row r="376" spans="1:11" ht="18.75" customHeight="1">
      <c r="A376" s="75" t="s">
        <v>38</v>
      </c>
      <c r="B376" s="41">
        <v>20</v>
      </c>
      <c r="C376" s="41">
        <v>1</v>
      </c>
      <c r="D376" s="42" t="s">
        <v>12</v>
      </c>
      <c r="E376" s="43" t="s">
        <v>13</v>
      </c>
      <c r="F376" s="40">
        <v>2</v>
      </c>
      <c r="G376" s="23">
        <v>0</v>
      </c>
      <c r="H376" s="44">
        <v>1720</v>
      </c>
      <c r="I376" s="44">
        <v>1775</v>
      </c>
      <c r="J376" s="1"/>
      <c r="K376" s="1"/>
    </row>
    <row r="377" spans="1:11" ht="18.75" customHeight="1">
      <c r="A377" s="75" t="s">
        <v>38</v>
      </c>
      <c r="B377" s="41">
        <v>25</v>
      </c>
      <c r="C377" s="41">
        <v>1</v>
      </c>
      <c r="D377" s="42" t="s">
        <v>12</v>
      </c>
      <c r="E377" s="43" t="s">
        <v>13</v>
      </c>
      <c r="F377" s="40">
        <v>3</v>
      </c>
      <c r="G377" s="23">
        <v>0</v>
      </c>
      <c r="H377" s="44">
        <v>1890</v>
      </c>
      <c r="I377" s="44">
        <v>1935</v>
      </c>
      <c r="J377" s="1"/>
      <c r="K377" s="1"/>
    </row>
    <row r="378" spans="1:11" ht="18.75" customHeight="1">
      <c r="A378" s="75" t="s">
        <v>38</v>
      </c>
      <c r="B378" s="41">
        <v>30</v>
      </c>
      <c r="C378" s="41">
        <v>2</v>
      </c>
      <c r="D378" s="42" t="s">
        <v>12</v>
      </c>
      <c r="E378" s="43" t="s">
        <v>13</v>
      </c>
      <c r="F378" s="40">
        <v>3</v>
      </c>
      <c r="G378" s="23">
        <v>0</v>
      </c>
      <c r="H378" s="44">
        <v>2375</v>
      </c>
      <c r="I378" s="44">
        <v>2414</v>
      </c>
      <c r="J378" s="1"/>
      <c r="K378" s="1"/>
    </row>
    <row r="379" spans="1:11" ht="18.75" customHeight="1">
      <c r="A379" s="75" t="s">
        <v>39</v>
      </c>
      <c r="B379" s="41">
        <v>10</v>
      </c>
      <c r="C379" s="41">
        <v>1</v>
      </c>
      <c r="D379" s="42" t="s">
        <v>13</v>
      </c>
      <c r="E379" s="43" t="s">
        <v>13</v>
      </c>
      <c r="F379" s="40">
        <v>1</v>
      </c>
      <c r="G379" s="23">
        <v>0</v>
      </c>
      <c r="H379" s="44">
        <v>2178</v>
      </c>
      <c r="I379" s="44">
        <v>2283</v>
      </c>
      <c r="J379" s="1"/>
      <c r="K379" s="1"/>
    </row>
    <row r="380" spans="1:11" ht="18.75" customHeight="1">
      <c r="A380" s="75" t="s">
        <v>39</v>
      </c>
      <c r="B380" s="41">
        <v>60</v>
      </c>
      <c r="C380" s="41">
        <v>1</v>
      </c>
      <c r="D380" s="42" t="s">
        <v>16</v>
      </c>
      <c r="E380" s="43" t="s">
        <v>15</v>
      </c>
      <c r="F380" s="40">
        <v>5</v>
      </c>
      <c r="G380" s="23">
        <v>0</v>
      </c>
      <c r="H380" s="44">
        <v>4028</v>
      </c>
      <c r="I380" s="44">
        <v>4051</v>
      </c>
      <c r="J380" s="1">
        <v>4086</v>
      </c>
      <c r="K380" s="1"/>
    </row>
    <row r="381" spans="1:11" ht="18.75" customHeight="1">
      <c r="A381" s="75" t="s">
        <v>39</v>
      </c>
      <c r="B381" s="41">
        <v>40</v>
      </c>
      <c r="C381" s="41">
        <v>1</v>
      </c>
      <c r="D381" s="42" t="s">
        <v>16</v>
      </c>
      <c r="E381" s="43" t="s">
        <v>15</v>
      </c>
      <c r="F381" s="40">
        <v>7</v>
      </c>
      <c r="G381" s="23">
        <v>0</v>
      </c>
      <c r="H381" s="44">
        <v>2405</v>
      </c>
      <c r="I381" s="44">
        <v>2435</v>
      </c>
      <c r="J381" s="1">
        <v>2483</v>
      </c>
      <c r="K381" s="1"/>
    </row>
    <row r="382" spans="1:11" ht="18.75" customHeight="1">
      <c r="A382" s="75" t="s">
        <v>39</v>
      </c>
      <c r="B382" s="41">
        <v>30</v>
      </c>
      <c r="C382" s="41">
        <v>1</v>
      </c>
      <c r="D382" s="42" t="s">
        <v>12</v>
      </c>
      <c r="E382" s="43" t="s">
        <v>13</v>
      </c>
      <c r="F382" s="40">
        <v>6</v>
      </c>
      <c r="G382" s="23">
        <v>0</v>
      </c>
      <c r="H382" s="44">
        <v>2821</v>
      </c>
      <c r="I382" s="44">
        <v>2859</v>
      </c>
      <c r="J382" s="1"/>
      <c r="K382" s="1"/>
    </row>
    <row r="383" spans="1:11" ht="18.75" customHeight="1">
      <c r="A383" s="75" t="s">
        <v>39</v>
      </c>
      <c r="B383" s="41">
        <v>35</v>
      </c>
      <c r="C383" s="41">
        <v>1</v>
      </c>
      <c r="D383" s="42" t="s">
        <v>14</v>
      </c>
      <c r="E383" s="43" t="s">
        <v>15</v>
      </c>
      <c r="F383" s="40">
        <v>7</v>
      </c>
      <c r="G383" s="23">
        <v>0</v>
      </c>
      <c r="H383" s="44">
        <v>3860</v>
      </c>
      <c r="I383" s="44">
        <v>3893</v>
      </c>
      <c r="J383" s="1">
        <v>3915</v>
      </c>
      <c r="K383" s="1"/>
    </row>
    <row r="384" spans="1:11" ht="18.75" customHeight="1">
      <c r="A384" s="75" t="s">
        <v>39</v>
      </c>
      <c r="B384" s="41">
        <v>35</v>
      </c>
      <c r="C384" s="41">
        <v>2</v>
      </c>
      <c r="D384" s="42" t="s">
        <v>14</v>
      </c>
      <c r="E384" s="43" t="s">
        <v>15</v>
      </c>
      <c r="F384" s="40">
        <v>6</v>
      </c>
      <c r="G384" s="23">
        <v>0</v>
      </c>
      <c r="H384" s="44">
        <v>2292</v>
      </c>
      <c r="I384" s="44">
        <v>2326</v>
      </c>
      <c r="J384" s="1">
        <v>2360</v>
      </c>
      <c r="K384" s="1"/>
    </row>
    <row r="385" spans="1:11" ht="18.75" customHeight="1">
      <c r="A385" s="75" t="s">
        <v>39</v>
      </c>
      <c r="B385" s="41">
        <v>33</v>
      </c>
      <c r="C385" s="41">
        <v>1</v>
      </c>
      <c r="D385" s="42" t="s">
        <v>16</v>
      </c>
      <c r="E385" s="43" t="s">
        <v>15</v>
      </c>
      <c r="F385" s="40">
        <v>5</v>
      </c>
      <c r="G385" s="23">
        <v>0</v>
      </c>
      <c r="H385" s="44">
        <v>3488</v>
      </c>
      <c r="I385" s="44">
        <v>3523</v>
      </c>
      <c r="J385" s="1">
        <v>3591</v>
      </c>
      <c r="K385" s="1"/>
    </row>
    <row r="386" spans="1:11" ht="18.75" customHeight="1">
      <c r="A386" s="75" t="s">
        <v>39</v>
      </c>
      <c r="B386" s="41">
        <v>33</v>
      </c>
      <c r="C386" s="41">
        <v>2</v>
      </c>
      <c r="D386" s="42" t="s">
        <v>16</v>
      </c>
      <c r="E386" s="43" t="s">
        <v>15</v>
      </c>
      <c r="F386" s="40">
        <v>6</v>
      </c>
      <c r="G386" s="23">
        <v>0</v>
      </c>
      <c r="H386" s="44">
        <v>2083</v>
      </c>
      <c r="I386" s="44">
        <v>2118</v>
      </c>
      <c r="J386" s="1">
        <v>2154</v>
      </c>
      <c r="K386" s="1"/>
    </row>
    <row r="387" spans="1:11" ht="18.75" customHeight="1">
      <c r="A387" s="75" t="s">
        <v>39</v>
      </c>
      <c r="B387" s="41">
        <v>30</v>
      </c>
      <c r="C387" s="41">
        <v>2</v>
      </c>
      <c r="D387" s="42" t="s">
        <v>14</v>
      </c>
      <c r="E387" s="43" t="s">
        <v>15</v>
      </c>
      <c r="F387" s="40">
        <v>6</v>
      </c>
      <c r="G387" s="23">
        <v>0</v>
      </c>
      <c r="H387" s="44">
        <v>1939</v>
      </c>
      <c r="I387" s="44">
        <v>1978</v>
      </c>
      <c r="J387" s="1">
        <v>2017</v>
      </c>
      <c r="K387" s="1"/>
    </row>
    <row r="388" spans="1:11" ht="18.75" customHeight="1">
      <c r="A388" s="75" t="s">
        <v>39</v>
      </c>
      <c r="B388" s="41">
        <v>28</v>
      </c>
      <c r="C388" s="41">
        <v>1</v>
      </c>
      <c r="D388" s="42" t="s">
        <v>12</v>
      </c>
      <c r="E388" s="43" t="s">
        <v>13</v>
      </c>
      <c r="F388" s="40">
        <v>5</v>
      </c>
      <c r="G388" s="23">
        <v>0</v>
      </c>
      <c r="H388" s="44">
        <v>2553</v>
      </c>
      <c r="I388" s="44">
        <v>2593</v>
      </c>
      <c r="J388" s="1"/>
      <c r="K388" s="1"/>
    </row>
    <row r="389" spans="1:11" ht="18.75" customHeight="1">
      <c r="A389" s="75" t="s">
        <v>39</v>
      </c>
      <c r="B389" s="41">
        <v>30</v>
      </c>
      <c r="C389" s="41">
        <v>3</v>
      </c>
      <c r="D389" s="42" t="s">
        <v>16</v>
      </c>
      <c r="E389" s="43" t="s">
        <v>15</v>
      </c>
      <c r="F389" s="40">
        <v>6</v>
      </c>
      <c r="G389" s="23">
        <v>0</v>
      </c>
      <c r="H389" s="44">
        <v>2210</v>
      </c>
      <c r="I389" s="44">
        <v>2248</v>
      </c>
      <c r="J389" s="1">
        <v>2270</v>
      </c>
      <c r="K389" s="1"/>
    </row>
    <row r="390" spans="1:11" ht="18.75" customHeight="1">
      <c r="A390" s="75" t="s">
        <v>39</v>
      </c>
      <c r="B390" s="41">
        <v>28</v>
      </c>
      <c r="C390" s="41">
        <v>2</v>
      </c>
      <c r="D390" s="42" t="s">
        <v>16</v>
      </c>
      <c r="E390" s="43" t="s">
        <v>15</v>
      </c>
      <c r="F390" s="40">
        <v>6</v>
      </c>
      <c r="G390" s="23">
        <v>0</v>
      </c>
      <c r="H390" s="44">
        <v>3097</v>
      </c>
      <c r="I390" s="44">
        <v>3136</v>
      </c>
      <c r="J390" s="1">
        <v>3157</v>
      </c>
      <c r="K390" s="1"/>
    </row>
    <row r="391" spans="1:11" ht="18.75" customHeight="1">
      <c r="A391" s="75" t="s">
        <v>39</v>
      </c>
      <c r="B391" s="41">
        <v>28</v>
      </c>
      <c r="C391" s="41">
        <v>3</v>
      </c>
      <c r="D391" s="42" t="s">
        <v>16</v>
      </c>
      <c r="E391" s="43" t="s">
        <v>15</v>
      </c>
      <c r="F391" s="40">
        <v>6</v>
      </c>
      <c r="G391" s="23">
        <v>0</v>
      </c>
      <c r="H391" s="44">
        <v>2264</v>
      </c>
      <c r="I391" s="44">
        <v>2304</v>
      </c>
      <c r="J391" s="1">
        <v>2347</v>
      </c>
      <c r="K391" s="1"/>
    </row>
    <row r="392" spans="1:11" ht="18.75" customHeight="1">
      <c r="A392" s="75" t="s">
        <v>39</v>
      </c>
      <c r="B392" s="41">
        <v>26</v>
      </c>
      <c r="C392" s="41">
        <v>1</v>
      </c>
      <c r="D392" s="42" t="s">
        <v>12</v>
      </c>
      <c r="E392" s="43" t="s">
        <v>13</v>
      </c>
      <c r="F392" s="40">
        <v>4</v>
      </c>
      <c r="G392" s="23">
        <v>0</v>
      </c>
      <c r="H392" s="44">
        <v>2502</v>
      </c>
      <c r="I392" s="44">
        <v>2545</v>
      </c>
      <c r="J392" s="1"/>
      <c r="K392" s="1"/>
    </row>
    <row r="393" spans="1:11" ht="18.75" customHeight="1">
      <c r="A393" s="75" t="s">
        <v>39</v>
      </c>
      <c r="B393" s="41">
        <v>28</v>
      </c>
      <c r="C393" s="41">
        <v>4</v>
      </c>
      <c r="D393" s="42" t="s">
        <v>16</v>
      </c>
      <c r="E393" s="43" t="s">
        <v>15</v>
      </c>
      <c r="F393" s="40">
        <v>6</v>
      </c>
      <c r="G393" s="23">
        <v>0</v>
      </c>
      <c r="H393" s="44">
        <v>2110</v>
      </c>
      <c r="I393" s="44">
        <v>2151</v>
      </c>
      <c r="J393" s="1">
        <v>2174</v>
      </c>
      <c r="K393" s="1"/>
    </row>
    <row r="394" spans="1:11" ht="18.75" customHeight="1">
      <c r="A394" s="75" t="s">
        <v>39</v>
      </c>
      <c r="B394" s="41">
        <v>27</v>
      </c>
      <c r="C394" s="41">
        <v>1</v>
      </c>
      <c r="D394" s="42" t="s">
        <v>16</v>
      </c>
      <c r="E394" s="43" t="s">
        <v>15</v>
      </c>
      <c r="F394" s="40">
        <v>6</v>
      </c>
      <c r="G394" s="23">
        <v>0</v>
      </c>
      <c r="H394" s="44">
        <v>1695</v>
      </c>
      <c r="I394" s="44">
        <v>1737</v>
      </c>
      <c r="J394" s="1">
        <v>1751</v>
      </c>
      <c r="K394" s="1"/>
    </row>
    <row r="395" spans="1:11" ht="18.75" customHeight="1">
      <c r="A395" s="75" t="s">
        <v>39</v>
      </c>
      <c r="B395" s="41">
        <v>25</v>
      </c>
      <c r="C395" s="41">
        <v>1</v>
      </c>
      <c r="D395" s="42" t="s">
        <v>12</v>
      </c>
      <c r="E395" s="43" t="s">
        <v>13</v>
      </c>
      <c r="F395" s="40">
        <v>5</v>
      </c>
      <c r="G395" s="23">
        <v>0</v>
      </c>
      <c r="H395" s="44">
        <v>2352</v>
      </c>
      <c r="I395" s="44">
        <v>2397</v>
      </c>
      <c r="J395" s="1"/>
      <c r="K395" s="1"/>
    </row>
    <row r="396" spans="1:11" ht="18.75" customHeight="1">
      <c r="A396" s="75" t="s">
        <v>39</v>
      </c>
      <c r="B396" s="41">
        <v>26</v>
      </c>
      <c r="C396" s="41">
        <v>2</v>
      </c>
      <c r="D396" s="42" t="s">
        <v>12</v>
      </c>
      <c r="E396" s="43" t="s">
        <v>13</v>
      </c>
      <c r="F396" s="40">
        <v>5</v>
      </c>
      <c r="G396" s="23">
        <v>0</v>
      </c>
      <c r="H396" s="44">
        <v>2244</v>
      </c>
      <c r="I396" s="44">
        <v>2287</v>
      </c>
      <c r="J396" s="1"/>
      <c r="K396" s="1"/>
    </row>
    <row r="397" spans="1:11" ht="18.75" customHeight="1">
      <c r="A397" s="75" t="s">
        <v>39</v>
      </c>
      <c r="B397" s="41">
        <v>27</v>
      </c>
      <c r="C397" s="41">
        <v>2</v>
      </c>
      <c r="D397" s="42" t="s">
        <v>16</v>
      </c>
      <c r="E397" s="43" t="s">
        <v>15</v>
      </c>
      <c r="F397" s="40">
        <v>7</v>
      </c>
      <c r="G397" s="23">
        <v>0</v>
      </c>
      <c r="H397" s="44">
        <v>1906</v>
      </c>
      <c r="I397" s="44">
        <v>1948</v>
      </c>
      <c r="J397" s="1">
        <v>1973</v>
      </c>
      <c r="K397" s="1"/>
    </row>
    <row r="398" spans="1:11" ht="18.75" customHeight="1">
      <c r="A398" s="75" t="s">
        <v>39</v>
      </c>
      <c r="B398" s="41">
        <v>25</v>
      </c>
      <c r="C398" s="41">
        <v>2</v>
      </c>
      <c r="D398" s="42" t="s">
        <v>12</v>
      </c>
      <c r="E398" s="43" t="s">
        <v>13</v>
      </c>
      <c r="F398" s="40">
        <v>5</v>
      </c>
      <c r="G398" s="23">
        <v>0</v>
      </c>
      <c r="H398" s="44">
        <v>3272</v>
      </c>
      <c r="I398" s="44">
        <v>3317</v>
      </c>
      <c r="J398" s="1"/>
      <c r="K398" s="1"/>
    </row>
    <row r="399" spans="1:11" ht="18.75" customHeight="1">
      <c r="A399" s="75" t="s">
        <v>40</v>
      </c>
      <c r="B399" s="41">
        <v>10</v>
      </c>
      <c r="C399" s="41">
        <v>1</v>
      </c>
      <c r="D399" s="42" t="s">
        <v>13</v>
      </c>
      <c r="E399" s="43" t="s">
        <v>13</v>
      </c>
      <c r="F399" s="40">
        <v>1</v>
      </c>
      <c r="G399" s="23">
        <v>0</v>
      </c>
      <c r="H399" s="44">
        <v>1173</v>
      </c>
      <c r="I399" s="44">
        <v>1282</v>
      </c>
      <c r="J399" s="1"/>
      <c r="K399" s="1"/>
    </row>
    <row r="400" spans="1:11" ht="18.75" customHeight="1">
      <c r="A400" s="75" t="s">
        <v>40</v>
      </c>
      <c r="B400" s="41">
        <v>70</v>
      </c>
      <c r="C400" s="41">
        <v>1</v>
      </c>
      <c r="D400" s="42" t="s">
        <v>12</v>
      </c>
      <c r="E400" s="43" t="s">
        <v>13</v>
      </c>
      <c r="F400" s="40">
        <v>3</v>
      </c>
      <c r="G400" s="23">
        <v>0</v>
      </c>
      <c r="H400" s="44">
        <v>1883</v>
      </c>
      <c r="I400" s="44">
        <v>1903</v>
      </c>
      <c r="J400" s="1"/>
      <c r="K400" s="1"/>
    </row>
    <row r="401" spans="1:11" ht="18.75" customHeight="1">
      <c r="A401" s="75" t="s">
        <v>40</v>
      </c>
      <c r="B401" s="41">
        <v>80</v>
      </c>
      <c r="C401" s="41">
        <v>1</v>
      </c>
      <c r="D401" s="42" t="s">
        <v>12</v>
      </c>
      <c r="E401" s="43" t="s">
        <v>13</v>
      </c>
      <c r="F401" s="40">
        <v>3</v>
      </c>
      <c r="G401" s="23">
        <v>0</v>
      </c>
      <c r="H401" s="44">
        <v>1941</v>
      </c>
      <c r="I401" s="44">
        <v>1959</v>
      </c>
      <c r="J401" s="1"/>
      <c r="K401" s="1"/>
    </row>
    <row r="402" spans="1:11" ht="18.75" customHeight="1">
      <c r="A402" s="75" t="s">
        <v>40</v>
      </c>
      <c r="B402" s="41">
        <v>90</v>
      </c>
      <c r="C402" s="41">
        <v>1</v>
      </c>
      <c r="D402" s="42" t="s">
        <v>12</v>
      </c>
      <c r="E402" s="43" t="s">
        <v>13</v>
      </c>
      <c r="F402" s="40">
        <v>2</v>
      </c>
      <c r="G402" s="23">
        <v>0</v>
      </c>
      <c r="H402" s="44">
        <v>1306</v>
      </c>
      <c r="I402" s="44">
        <v>1322</v>
      </c>
      <c r="J402" s="1"/>
      <c r="K402" s="1"/>
    </row>
    <row r="403" spans="1:11" ht="18.75" customHeight="1">
      <c r="A403" s="75" t="s">
        <v>40</v>
      </c>
      <c r="B403" s="41">
        <v>110</v>
      </c>
      <c r="C403" s="41">
        <v>1</v>
      </c>
      <c r="D403" s="42" t="s">
        <v>12</v>
      </c>
      <c r="E403" s="43" t="s">
        <v>13</v>
      </c>
      <c r="F403" s="40">
        <v>3</v>
      </c>
      <c r="G403" s="23">
        <v>0</v>
      </c>
      <c r="H403" s="44">
        <v>2876</v>
      </c>
      <c r="I403" s="44">
        <v>2891</v>
      </c>
      <c r="J403" s="1"/>
      <c r="K403" s="1"/>
    </row>
    <row r="404" spans="1:11" ht="18.75" customHeight="1">
      <c r="A404" s="75" t="s">
        <v>40</v>
      </c>
      <c r="B404" s="41">
        <v>130</v>
      </c>
      <c r="C404" s="41">
        <v>1</v>
      </c>
      <c r="D404" s="42" t="s">
        <v>12</v>
      </c>
      <c r="E404" s="43" t="s">
        <v>13</v>
      </c>
      <c r="F404" s="40">
        <v>3</v>
      </c>
      <c r="G404" s="23">
        <v>1</v>
      </c>
      <c r="H404" s="44">
        <v>1511</v>
      </c>
      <c r="I404" s="44">
        <v>1524</v>
      </c>
      <c r="J404" s="1"/>
      <c r="K404" s="1"/>
    </row>
    <row r="405" spans="1:11" ht="18.75" customHeight="1">
      <c r="A405" s="75" t="s">
        <v>40</v>
      </c>
      <c r="B405" s="41">
        <v>150</v>
      </c>
      <c r="C405" s="41">
        <v>1</v>
      </c>
      <c r="D405" s="42" t="s">
        <v>16</v>
      </c>
      <c r="E405" s="43" t="s">
        <v>15</v>
      </c>
      <c r="F405" s="40">
        <v>5</v>
      </c>
      <c r="G405" s="23">
        <v>0</v>
      </c>
      <c r="H405" s="44">
        <v>2675</v>
      </c>
      <c r="I405" s="44">
        <v>2688</v>
      </c>
      <c r="J405" s="1">
        <v>2733</v>
      </c>
      <c r="K405" s="1"/>
    </row>
    <row r="406" spans="1:11" ht="18.75" customHeight="1">
      <c r="A406" s="75" t="s">
        <v>40</v>
      </c>
      <c r="B406" s="41">
        <v>150</v>
      </c>
      <c r="C406" s="41">
        <v>2</v>
      </c>
      <c r="D406" s="42" t="s">
        <v>16</v>
      </c>
      <c r="E406" s="43" t="s">
        <v>15</v>
      </c>
      <c r="F406" s="40">
        <v>4</v>
      </c>
      <c r="G406" s="23">
        <v>0</v>
      </c>
      <c r="H406" s="44">
        <v>2679</v>
      </c>
      <c r="I406" s="44">
        <v>2691</v>
      </c>
      <c r="J406" s="1">
        <v>2758</v>
      </c>
      <c r="K406" s="1"/>
    </row>
    <row r="407" spans="1:11" ht="18.75" customHeight="1">
      <c r="A407" s="75" t="s">
        <v>40</v>
      </c>
      <c r="B407" s="41">
        <v>140</v>
      </c>
      <c r="C407" s="41">
        <v>1</v>
      </c>
      <c r="D407" s="42" t="s">
        <v>16</v>
      </c>
      <c r="E407" s="43" t="s">
        <v>15</v>
      </c>
      <c r="F407" s="40">
        <v>3</v>
      </c>
      <c r="G407" s="23">
        <v>0</v>
      </c>
      <c r="H407" s="44">
        <v>2597</v>
      </c>
      <c r="I407" s="44">
        <v>2609</v>
      </c>
      <c r="J407" s="1">
        <v>2632</v>
      </c>
      <c r="K407" s="1"/>
    </row>
    <row r="408" spans="1:11" ht="18.75" customHeight="1">
      <c r="A408" s="75" t="s">
        <v>40</v>
      </c>
      <c r="B408" s="41">
        <v>140</v>
      </c>
      <c r="C408" s="41">
        <v>2</v>
      </c>
      <c r="D408" s="42" t="s">
        <v>16</v>
      </c>
      <c r="E408" s="43" t="s">
        <v>15</v>
      </c>
      <c r="F408" s="40">
        <v>3</v>
      </c>
      <c r="G408" s="23">
        <v>0</v>
      </c>
      <c r="H408" s="44">
        <v>2082</v>
      </c>
      <c r="I408" s="44">
        <v>2094</v>
      </c>
      <c r="J408" s="1">
        <v>2121</v>
      </c>
      <c r="K408" s="1"/>
    </row>
    <row r="409" spans="1:11" ht="18.75" customHeight="1">
      <c r="A409" s="75" t="s">
        <v>40</v>
      </c>
      <c r="B409" s="41">
        <v>130</v>
      </c>
      <c r="C409" s="41">
        <v>2</v>
      </c>
      <c r="D409" s="42" t="s">
        <v>16</v>
      </c>
      <c r="E409" s="43" t="s">
        <v>15</v>
      </c>
      <c r="F409" s="40">
        <v>2</v>
      </c>
      <c r="G409" s="23">
        <v>1</v>
      </c>
      <c r="H409" s="44">
        <v>2069</v>
      </c>
      <c r="I409" s="44">
        <v>2082</v>
      </c>
      <c r="J409" s="1">
        <v>2097</v>
      </c>
      <c r="K409" s="1"/>
    </row>
    <row r="410" spans="1:11" ht="18.75" customHeight="1">
      <c r="A410" s="75" t="s">
        <v>40</v>
      </c>
      <c r="B410" s="41">
        <v>130</v>
      </c>
      <c r="C410" s="41">
        <v>3</v>
      </c>
      <c r="D410" s="42" t="s">
        <v>12</v>
      </c>
      <c r="E410" s="43" t="s">
        <v>13</v>
      </c>
      <c r="F410" s="40">
        <v>2</v>
      </c>
      <c r="G410" s="23">
        <v>1</v>
      </c>
      <c r="H410" s="44">
        <v>1990</v>
      </c>
      <c r="I410" s="44">
        <v>2003</v>
      </c>
      <c r="J410" s="1"/>
      <c r="K410" s="1"/>
    </row>
    <row r="411" spans="1:11" ht="18.75" customHeight="1">
      <c r="A411" s="75" t="s">
        <v>40</v>
      </c>
      <c r="B411" s="41">
        <v>135</v>
      </c>
      <c r="C411" s="41">
        <v>1</v>
      </c>
      <c r="D411" s="42" t="s">
        <v>12</v>
      </c>
      <c r="E411" s="43" t="s">
        <v>13</v>
      </c>
      <c r="F411" s="40">
        <v>2</v>
      </c>
      <c r="G411" s="23">
        <v>0</v>
      </c>
      <c r="H411" s="44">
        <v>2097</v>
      </c>
      <c r="I411" s="44">
        <v>2110</v>
      </c>
      <c r="J411" s="1"/>
      <c r="K411" s="1"/>
    </row>
    <row r="412" spans="1:11" ht="18.75" customHeight="1">
      <c r="A412" s="75" t="s">
        <v>40</v>
      </c>
      <c r="B412" s="41">
        <v>140</v>
      </c>
      <c r="C412" s="41">
        <v>3</v>
      </c>
      <c r="D412" s="42" t="s">
        <v>16</v>
      </c>
      <c r="E412" s="43" t="s">
        <v>15</v>
      </c>
      <c r="F412" s="40">
        <v>3</v>
      </c>
      <c r="G412" s="23">
        <v>0</v>
      </c>
      <c r="H412" s="44">
        <v>1577</v>
      </c>
      <c r="I412" s="44">
        <v>1590</v>
      </c>
      <c r="J412" s="1">
        <v>1618</v>
      </c>
      <c r="K412" s="1"/>
    </row>
    <row r="413" spans="1:11" ht="18.75" customHeight="1">
      <c r="A413" s="75" t="s">
        <v>40</v>
      </c>
      <c r="B413" s="41">
        <v>140</v>
      </c>
      <c r="C413" s="41">
        <v>4</v>
      </c>
      <c r="D413" s="42" t="s">
        <v>16</v>
      </c>
      <c r="E413" s="43" t="s">
        <v>15</v>
      </c>
      <c r="F413" s="40">
        <v>3</v>
      </c>
      <c r="G413" s="23">
        <v>0</v>
      </c>
      <c r="H413" s="44">
        <v>2333</v>
      </c>
      <c r="I413" s="44">
        <v>2345</v>
      </c>
      <c r="J413" s="1">
        <v>2366</v>
      </c>
      <c r="K413" s="1"/>
    </row>
    <row r="414" spans="1:11" ht="18.75" customHeight="1">
      <c r="A414" s="75" t="s">
        <v>40</v>
      </c>
      <c r="B414" s="41">
        <v>137</v>
      </c>
      <c r="C414" s="41">
        <v>1</v>
      </c>
      <c r="D414" s="42" t="s">
        <v>16</v>
      </c>
      <c r="E414" s="43" t="s">
        <v>15</v>
      </c>
      <c r="F414" s="40">
        <v>3</v>
      </c>
      <c r="G414" s="23">
        <v>0</v>
      </c>
      <c r="H414" s="44">
        <v>2053</v>
      </c>
      <c r="I414" s="44">
        <v>2066</v>
      </c>
      <c r="J414" s="1">
        <v>2091</v>
      </c>
      <c r="K414" s="1"/>
    </row>
    <row r="415" spans="1:11" ht="18.75" customHeight="1">
      <c r="A415" s="75" t="s">
        <v>40</v>
      </c>
      <c r="B415" s="41">
        <v>137</v>
      </c>
      <c r="C415" s="41">
        <v>2</v>
      </c>
      <c r="D415" s="42" t="s">
        <v>16</v>
      </c>
      <c r="E415" s="43" t="s">
        <v>15</v>
      </c>
      <c r="F415" s="40">
        <v>3</v>
      </c>
      <c r="G415" s="23">
        <v>0</v>
      </c>
      <c r="H415" s="44">
        <v>1996</v>
      </c>
      <c r="I415" s="44">
        <v>2009</v>
      </c>
      <c r="J415" s="1">
        <v>2022</v>
      </c>
      <c r="K415" s="1"/>
    </row>
    <row r="416" spans="1:11" ht="18.75" customHeight="1">
      <c r="A416" s="75" t="s">
        <v>40</v>
      </c>
      <c r="B416" s="41">
        <v>130</v>
      </c>
      <c r="C416" s="41">
        <v>4</v>
      </c>
      <c r="D416" s="42" t="s">
        <v>16</v>
      </c>
      <c r="E416" s="43" t="s">
        <v>15</v>
      </c>
      <c r="F416" s="40">
        <v>4</v>
      </c>
      <c r="G416" s="23">
        <v>1</v>
      </c>
      <c r="H416" s="44">
        <v>4429</v>
      </c>
      <c r="I416" s="44">
        <v>4442</v>
      </c>
      <c r="J416" s="1">
        <v>4451</v>
      </c>
      <c r="K416" s="1"/>
    </row>
    <row r="417" spans="1:11" ht="18.75" customHeight="1">
      <c r="A417" s="75" t="s">
        <v>40</v>
      </c>
      <c r="B417" s="41">
        <v>130</v>
      </c>
      <c r="C417" s="41">
        <v>5</v>
      </c>
      <c r="D417" s="42" t="s">
        <v>14</v>
      </c>
      <c r="E417" s="43" t="s">
        <v>15</v>
      </c>
      <c r="F417" s="40">
        <v>2</v>
      </c>
      <c r="G417" s="23">
        <v>1</v>
      </c>
      <c r="H417" s="44">
        <v>2573</v>
      </c>
      <c r="I417" s="44">
        <v>2586</v>
      </c>
      <c r="J417" s="1">
        <v>2610</v>
      </c>
      <c r="K417" s="1"/>
    </row>
    <row r="418" spans="1:11" ht="18.75" customHeight="1">
      <c r="A418" s="75" t="s">
        <v>40</v>
      </c>
      <c r="B418" s="41">
        <v>130</v>
      </c>
      <c r="C418" s="41">
        <v>6</v>
      </c>
      <c r="D418" s="42" t="s">
        <v>16</v>
      </c>
      <c r="E418" s="43" t="s">
        <v>15</v>
      </c>
      <c r="F418" s="40">
        <v>3</v>
      </c>
      <c r="G418" s="23">
        <v>1</v>
      </c>
      <c r="H418" s="41">
        <v>2000</v>
      </c>
      <c r="I418" s="41">
        <v>2013</v>
      </c>
      <c r="J418" s="1">
        <v>2028</v>
      </c>
      <c r="K418" s="1"/>
    </row>
    <row r="419" spans="1:11" ht="18.75" customHeight="1">
      <c r="A419" s="75" t="s">
        <v>40</v>
      </c>
      <c r="B419" s="41">
        <v>120</v>
      </c>
      <c r="C419" s="41">
        <v>1</v>
      </c>
      <c r="D419" s="42" t="s">
        <v>16</v>
      </c>
      <c r="E419" s="43" t="s">
        <v>15</v>
      </c>
      <c r="F419" s="40">
        <v>2</v>
      </c>
      <c r="G419" s="23">
        <v>0</v>
      </c>
      <c r="H419" s="44">
        <v>1652</v>
      </c>
      <c r="I419" s="44">
        <v>1666</v>
      </c>
      <c r="J419" s="1">
        <v>1681</v>
      </c>
      <c r="K419" s="1"/>
    </row>
    <row r="420" spans="1:11" ht="18.75" customHeight="1">
      <c r="A420" s="75" t="s">
        <v>40</v>
      </c>
      <c r="B420" s="41">
        <v>90</v>
      </c>
      <c r="C420" s="41">
        <v>2</v>
      </c>
      <c r="D420" s="42" t="s">
        <v>14</v>
      </c>
      <c r="E420" s="43" t="s">
        <v>15</v>
      </c>
      <c r="F420" s="40">
        <v>2</v>
      </c>
      <c r="G420" s="23">
        <v>0</v>
      </c>
      <c r="H420" s="44">
        <v>2217</v>
      </c>
      <c r="I420" s="44">
        <v>2234</v>
      </c>
      <c r="J420" s="1">
        <v>2268</v>
      </c>
      <c r="K420" s="1"/>
    </row>
    <row r="421" spans="1:11" ht="18.75" customHeight="1">
      <c r="A421" s="75" t="s">
        <v>40</v>
      </c>
      <c r="B421" s="41">
        <v>70</v>
      </c>
      <c r="C421" s="41">
        <v>2</v>
      </c>
      <c r="D421" s="42" t="s">
        <v>12</v>
      </c>
      <c r="E421" s="43" t="s">
        <v>13</v>
      </c>
      <c r="F421" s="40">
        <v>2</v>
      </c>
      <c r="G421" s="23">
        <v>0</v>
      </c>
      <c r="H421" s="44">
        <v>2209</v>
      </c>
      <c r="I421" s="44">
        <v>2229</v>
      </c>
      <c r="J421" s="1"/>
      <c r="K421" s="1"/>
    </row>
    <row r="422" spans="1:11" ht="18.75" customHeight="1">
      <c r="A422" s="75" t="s">
        <v>41</v>
      </c>
      <c r="B422" s="41">
        <v>10</v>
      </c>
      <c r="C422" s="41">
        <v>1</v>
      </c>
      <c r="D422" s="42" t="s">
        <v>13</v>
      </c>
      <c r="E422" s="43" t="s">
        <v>13</v>
      </c>
      <c r="F422" s="40">
        <v>1</v>
      </c>
      <c r="G422" s="23">
        <v>0</v>
      </c>
      <c r="H422" s="44">
        <v>2044</v>
      </c>
      <c r="I422" s="44">
        <v>2148</v>
      </c>
      <c r="J422" s="1"/>
      <c r="K422" s="1"/>
    </row>
    <row r="423" spans="1:11" ht="18.75" customHeight="1">
      <c r="A423" s="75" t="s">
        <v>41</v>
      </c>
      <c r="B423" s="41">
        <v>30</v>
      </c>
      <c r="C423" s="41">
        <v>1</v>
      </c>
      <c r="D423" s="42" t="s">
        <v>12</v>
      </c>
      <c r="E423" s="43" t="s">
        <v>13</v>
      </c>
      <c r="F423" s="40">
        <v>3</v>
      </c>
      <c r="G423" s="23">
        <v>0</v>
      </c>
      <c r="H423" s="44">
        <v>1722</v>
      </c>
      <c r="I423" s="44">
        <v>1760</v>
      </c>
      <c r="J423" s="1"/>
      <c r="K423" s="1"/>
    </row>
    <row r="424" spans="1:11" ht="18.75" customHeight="1">
      <c r="A424" s="75" t="s">
        <v>41</v>
      </c>
      <c r="B424" s="41">
        <v>40</v>
      </c>
      <c r="C424" s="41">
        <v>1</v>
      </c>
      <c r="D424" s="42" t="s">
        <v>16</v>
      </c>
      <c r="E424" s="43" t="s">
        <v>15</v>
      </c>
      <c r="F424" s="40">
        <v>4</v>
      </c>
      <c r="G424" s="23">
        <v>0</v>
      </c>
      <c r="H424" s="44">
        <v>1716</v>
      </c>
      <c r="I424" s="44">
        <v>1746</v>
      </c>
      <c r="J424" s="1">
        <v>1766</v>
      </c>
      <c r="K424" s="1"/>
    </row>
    <row r="425" spans="1:11" ht="18.75" customHeight="1">
      <c r="A425" s="75" t="s">
        <v>41</v>
      </c>
      <c r="B425" s="41">
        <v>40</v>
      </c>
      <c r="C425" s="41">
        <v>2</v>
      </c>
      <c r="D425" s="42" t="s">
        <v>12</v>
      </c>
      <c r="E425" s="43" t="s">
        <v>13</v>
      </c>
      <c r="F425" s="40">
        <v>3</v>
      </c>
      <c r="G425" s="23">
        <v>0</v>
      </c>
      <c r="H425" s="44">
        <v>1378</v>
      </c>
      <c r="I425" s="44">
        <v>1408</v>
      </c>
      <c r="J425" s="1"/>
      <c r="K425" s="1"/>
    </row>
    <row r="426" spans="1:11" ht="18.75" customHeight="1">
      <c r="A426" s="75" t="s">
        <v>41</v>
      </c>
      <c r="B426" s="41">
        <v>55</v>
      </c>
      <c r="C426" s="41">
        <v>1</v>
      </c>
      <c r="D426" s="42" t="s">
        <v>14</v>
      </c>
      <c r="E426" s="43" t="s">
        <v>15</v>
      </c>
      <c r="F426" s="40">
        <v>3</v>
      </c>
      <c r="G426" s="23">
        <v>0</v>
      </c>
      <c r="H426" s="44">
        <v>1588</v>
      </c>
      <c r="I426" s="44">
        <v>1611</v>
      </c>
      <c r="J426" s="1">
        <v>1715</v>
      </c>
      <c r="K426" s="1"/>
    </row>
    <row r="427" spans="1:11" ht="18.75" customHeight="1">
      <c r="A427" s="75" t="s">
        <v>41</v>
      </c>
      <c r="B427" s="41">
        <v>55</v>
      </c>
      <c r="C427" s="41">
        <v>2</v>
      </c>
      <c r="D427" s="42" t="s">
        <v>16</v>
      </c>
      <c r="E427" s="43" t="s">
        <v>15</v>
      </c>
      <c r="F427" s="40">
        <v>3</v>
      </c>
      <c r="G427" s="23">
        <v>0</v>
      </c>
      <c r="H427" s="44">
        <v>1173</v>
      </c>
      <c r="I427" s="44">
        <v>1198</v>
      </c>
      <c r="J427" s="1">
        <v>1273</v>
      </c>
      <c r="K427" s="1"/>
    </row>
    <row r="428" spans="1:11" ht="18.75" customHeight="1">
      <c r="A428" s="75" t="s">
        <v>41</v>
      </c>
      <c r="B428" s="41">
        <v>50</v>
      </c>
      <c r="C428" s="41">
        <v>1</v>
      </c>
      <c r="D428" s="42" t="s">
        <v>12</v>
      </c>
      <c r="E428" s="43" t="s">
        <v>13</v>
      </c>
      <c r="F428" s="40">
        <v>2</v>
      </c>
      <c r="G428" s="23">
        <v>0</v>
      </c>
      <c r="H428" s="44">
        <v>1560</v>
      </c>
      <c r="I428" s="44">
        <v>1586</v>
      </c>
      <c r="J428" s="1"/>
      <c r="K428" s="1"/>
    </row>
    <row r="429" spans="1:11" ht="18.75" customHeight="1">
      <c r="A429" s="75" t="s">
        <v>41</v>
      </c>
      <c r="B429" s="41">
        <v>50</v>
      </c>
      <c r="C429" s="41">
        <v>2</v>
      </c>
      <c r="D429" s="42" t="s">
        <v>12</v>
      </c>
      <c r="E429" s="43" t="s">
        <v>13</v>
      </c>
      <c r="F429" s="40">
        <v>2</v>
      </c>
      <c r="G429" s="23">
        <v>0</v>
      </c>
      <c r="H429" s="44">
        <v>1847</v>
      </c>
      <c r="I429" s="44">
        <v>1873</v>
      </c>
      <c r="J429" s="1"/>
      <c r="K429" s="1"/>
    </row>
    <row r="430" spans="1:11" ht="18.75" customHeight="1">
      <c r="A430" s="75" t="s">
        <v>41</v>
      </c>
      <c r="B430" s="41">
        <v>53</v>
      </c>
      <c r="C430" s="41">
        <v>1</v>
      </c>
      <c r="D430" s="42" t="s">
        <v>14</v>
      </c>
      <c r="E430" s="43" t="s">
        <v>15</v>
      </c>
      <c r="F430" s="40">
        <v>3</v>
      </c>
      <c r="G430" s="23">
        <v>0</v>
      </c>
      <c r="H430" s="44">
        <v>1373</v>
      </c>
      <c r="I430" s="44">
        <v>1397</v>
      </c>
      <c r="J430" s="1">
        <v>1457</v>
      </c>
      <c r="K430" s="1"/>
    </row>
    <row r="431" spans="1:11" ht="18.75" customHeight="1">
      <c r="A431" s="75" t="s">
        <v>41</v>
      </c>
      <c r="B431" s="41">
        <v>53</v>
      </c>
      <c r="C431" s="41">
        <v>2</v>
      </c>
      <c r="D431" s="42" t="s">
        <v>12</v>
      </c>
      <c r="E431" s="43" t="s">
        <v>13</v>
      </c>
      <c r="F431" s="40">
        <v>2</v>
      </c>
      <c r="G431" s="23">
        <v>0</v>
      </c>
      <c r="H431" s="44">
        <v>1047</v>
      </c>
      <c r="I431" s="44">
        <v>1073</v>
      </c>
      <c r="J431" s="1"/>
      <c r="K431" s="1"/>
    </row>
    <row r="432" spans="1:11" ht="18.75" customHeight="1">
      <c r="A432" s="75" t="s">
        <v>41</v>
      </c>
      <c r="B432" s="41">
        <v>55</v>
      </c>
      <c r="C432" s="41">
        <v>3</v>
      </c>
      <c r="D432" s="42" t="s">
        <v>12</v>
      </c>
      <c r="E432" s="43" t="s">
        <v>13</v>
      </c>
      <c r="F432" s="40">
        <v>2</v>
      </c>
      <c r="G432" s="23">
        <v>0</v>
      </c>
      <c r="H432" s="44">
        <v>1474</v>
      </c>
      <c r="I432" s="44">
        <v>1498</v>
      </c>
      <c r="J432" s="1"/>
      <c r="K432" s="1"/>
    </row>
    <row r="433" spans="1:11" ht="18.75" customHeight="1">
      <c r="A433" s="75" t="s">
        <v>41</v>
      </c>
      <c r="B433" s="41">
        <v>60</v>
      </c>
      <c r="C433" s="41">
        <v>1</v>
      </c>
      <c r="D433" s="42" t="s">
        <v>14</v>
      </c>
      <c r="E433" s="43" t="s">
        <v>15</v>
      </c>
      <c r="F433" s="40">
        <v>3</v>
      </c>
      <c r="G433" s="23">
        <v>1</v>
      </c>
      <c r="H433" s="44">
        <v>1573</v>
      </c>
      <c r="I433" s="44">
        <v>1594</v>
      </c>
      <c r="J433" s="1">
        <v>1628</v>
      </c>
      <c r="K433" s="1"/>
    </row>
    <row r="434" spans="1:11" ht="18.75" customHeight="1">
      <c r="A434" s="75" t="s">
        <v>41</v>
      </c>
      <c r="B434" s="41">
        <v>60</v>
      </c>
      <c r="C434" s="41">
        <v>2</v>
      </c>
      <c r="D434" s="42" t="s">
        <v>14</v>
      </c>
      <c r="E434" s="43" t="s">
        <v>15</v>
      </c>
      <c r="F434" s="40">
        <v>4</v>
      </c>
      <c r="G434" s="23">
        <v>1</v>
      </c>
      <c r="H434" s="44">
        <v>1942</v>
      </c>
      <c r="I434" s="44">
        <v>1964</v>
      </c>
      <c r="J434" s="1">
        <v>1987</v>
      </c>
      <c r="K434" s="1"/>
    </row>
    <row r="435" spans="1:11" ht="18.75" customHeight="1">
      <c r="A435" s="75" t="s">
        <v>41</v>
      </c>
      <c r="B435" s="41">
        <v>60</v>
      </c>
      <c r="C435" s="41">
        <v>3</v>
      </c>
      <c r="D435" s="42" t="s">
        <v>12</v>
      </c>
      <c r="E435" s="43" t="s">
        <v>13</v>
      </c>
      <c r="F435" s="40">
        <v>3</v>
      </c>
      <c r="G435" s="23">
        <v>1</v>
      </c>
      <c r="H435" s="44">
        <v>1626</v>
      </c>
      <c r="I435" s="44">
        <v>1648</v>
      </c>
      <c r="J435" s="1"/>
      <c r="K435" s="1"/>
    </row>
    <row r="436" spans="1:11" ht="18.75" customHeight="1">
      <c r="A436" s="75" t="s">
        <v>41</v>
      </c>
      <c r="B436" s="41">
        <v>70</v>
      </c>
      <c r="C436" s="41">
        <v>1</v>
      </c>
      <c r="D436" s="42" t="s">
        <v>16</v>
      </c>
      <c r="E436" s="43" t="s">
        <v>15</v>
      </c>
      <c r="F436" s="40">
        <v>3</v>
      </c>
      <c r="G436" s="23">
        <v>0</v>
      </c>
      <c r="H436" s="44">
        <v>1690</v>
      </c>
      <c r="I436" s="44">
        <v>1710</v>
      </c>
      <c r="J436" s="1">
        <v>1748</v>
      </c>
      <c r="K436" s="1"/>
    </row>
    <row r="437" spans="1:11" ht="18.75" customHeight="1">
      <c r="A437" s="75" t="s">
        <v>41</v>
      </c>
      <c r="B437" s="41">
        <v>70</v>
      </c>
      <c r="C437" s="41">
        <v>2</v>
      </c>
      <c r="D437" s="42" t="s">
        <v>14</v>
      </c>
      <c r="E437" s="43" t="s">
        <v>15</v>
      </c>
      <c r="F437" s="40">
        <v>3</v>
      </c>
      <c r="G437" s="23">
        <v>0</v>
      </c>
      <c r="H437" s="44">
        <v>1536</v>
      </c>
      <c r="I437" s="44">
        <v>1555</v>
      </c>
      <c r="J437" s="1">
        <v>1605</v>
      </c>
      <c r="K437" s="1"/>
    </row>
    <row r="438" spans="1:11" ht="18.75" customHeight="1">
      <c r="A438" s="75" t="s">
        <v>41</v>
      </c>
      <c r="B438" s="41">
        <v>70</v>
      </c>
      <c r="C438" s="41">
        <v>3</v>
      </c>
      <c r="D438" s="42" t="s">
        <v>14</v>
      </c>
      <c r="E438" s="43" t="s">
        <v>15</v>
      </c>
      <c r="F438" s="40">
        <v>3</v>
      </c>
      <c r="G438" s="23">
        <v>0</v>
      </c>
      <c r="H438" s="44">
        <v>2070</v>
      </c>
      <c r="I438" s="44">
        <v>2090</v>
      </c>
      <c r="J438" s="1">
        <v>2175</v>
      </c>
      <c r="K438" s="1"/>
    </row>
    <row r="439" spans="1:11" ht="18.75" customHeight="1">
      <c r="A439" s="75" t="s">
        <v>41</v>
      </c>
      <c r="B439" s="41">
        <v>65</v>
      </c>
      <c r="C439" s="41">
        <v>1</v>
      </c>
      <c r="D439" s="42" t="s">
        <v>14</v>
      </c>
      <c r="E439" s="43" t="s">
        <v>15</v>
      </c>
      <c r="F439" s="40">
        <v>3</v>
      </c>
      <c r="G439" s="23">
        <v>0</v>
      </c>
      <c r="H439" s="44">
        <v>1386</v>
      </c>
      <c r="I439" s="44">
        <v>1406</v>
      </c>
      <c r="J439" s="1">
        <v>1439</v>
      </c>
      <c r="K439" s="1"/>
    </row>
    <row r="440" spans="1:11" ht="18.75" customHeight="1">
      <c r="A440" s="75" t="s">
        <v>41</v>
      </c>
      <c r="B440" s="41">
        <v>65</v>
      </c>
      <c r="C440" s="41">
        <v>2</v>
      </c>
      <c r="D440" s="42" t="s">
        <v>14</v>
      </c>
      <c r="E440" s="43" t="s">
        <v>15</v>
      </c>
      <c r="F440" s="40">
        <v>3</v>
      </c>
      <c r="G440" s="23">
        <v>0</v>
      </c>
      <c r="H440" s="44">
        <v>2289</v>
      </c>
      <c r="I440" s="44">
        <v>2310</v>
      </c>
      <c r="J440" s="1">
        <v>2390</v>
      </c>
      <c r="K440" s="1"/>
    </row>
    <row r="441" spans="1:11" ht="18.75" customHeight="1">
      <c r="A441" s="75" t="s">
        <v>41</v>
      </c>
      <c r="B441" s="41">
        <v>63</v>
      </c>
      <c r="C441" s="41">
        <v>1</v>
      </c>
      <c r="D441" s="42" t="s">
        <v>14</v>
      </c>
      <c r="E441" s="43" t="s">
        <v>15</v>
      </c>
      <c r="F441" s="40">
        <v>3</v>
      </c>
      <c r="G441" s="23">
        <v>0</v>
      </c>
      <c r="H441" s="44">
        <v>1309</v>
      </c>
      <c r="I441" s="44">
        <v>1330</v>
      </c>
      <c r="J441" s="1">
        <v>1410</v>
      </c>
      <c r="K441" s="1"/>
    </row>
    <row r="442" spans="1:11" ht="18.75" customHeight="1">
      <c r="A442" s="75" t="s">
        <v>41</v>
      </c>
      <c r="B442" s="41">
        <v>60</v>
      </c>
      <c r="C442" s="41">
        <v>4</v>
      </c>
      <c r="D442" s="42" t="s">
        <v>16</v>
      </c>
      <c r="E442" s="43" t="s">
        <v>15</v>
      </c>
      <c r="F442" s="40">
        <v>3</v>
      </c>
      <c r="G442" s="23">
        <v>1</v>
      </c>
      <c r="H442" s="44">
        <v>2105</v>
      </c>
      <c r="I442" s="44">
        <v>2126</v>
      </c>
      <c r="J442" s="1">
        <v>2226</v>
      </c>
      <c r="K442" s="1"/>
    </row>
    <row r="443" spans="1:11" ht="18.75" customHeight="1">
      <c r="A443" s="75" t="s">
        <v>42</v>
      </c>
      <c r="B443" s="41">
        <v>10</v>
      </c>
      <c r="C443" s="41">
        <v>1</v>
      </c>
      <c r="D443" s="47" t="s">
        <v>13</v>
      </c>
      <c r="E443" s="43" t="s">
        <v>13</v>
      </c>
      <c r="F443" s="37">
        <v>1</v>
      </c>
      <c r="G443" s="23">
        <v>0</v>
      </c>
      <c r="H443" s="44">
        <v>1886</v>
      </c>
      <c r="I443" s="44">
        <v>1991</v>
      </c>
      <c r="J443" s="1"/>
      <c r="K443" s="1"/>
    </row>
    <row r="444" spans="1:11" ht="18.75" customHeight="1">
      <c r="A444" s="75" t="s">
        <v>42</v>
      </c>
      <c r="B444" s="41">
        <v>50</v>
      </c>
      <c r="C444" s="41">
        <v>1</v>
      </c>
      <c r="D444" s="47" t="s">
        <v>12</v>
      </c>
      <c r="E444" s="43" t="s">
        <v>13</v>
      </c>
      <c r="F444" s="37">
        <v>4</v>
      </c>
      <c r="G444" s="23">
        <v>0</v>
      </c>
      <c r="H444" s="44">
        <v>2387</v>
      </c>
      <c r="I444" s="44">
        <v>2410</v>
      </c>
      <c r="J444" s="1"/>
      <c r="K444" s="1"/>
    </row>
    <row r="445" spans="1:11" ht="18.75" customHeight="1">
      <c r="A445" s="75" t="s">
        <v>42</v>
      </c>
      <c r="B445" s="41">
        <v>70</v>
      </c>
      <c r="C445" s="41">
        <v>1</v>
      </c>
      <c r="D445" s="47" t="s">
        <v>16</v>
      </c>
      <c r="E445" s="43" t="s">
        <v>15</v>
      </c>
      <c r="F445" s="37">
        <v>6</v>
      </c>
      <c r="G445" s="23">
        <v>0</v>
      </c>
      <c r="H445" s="44">
        <v>2043</v>
      </c>
      <c r="I445" s="44">
        <v>2062</v>
      </c>
      <c r="J445" s="1">
        <v>2092</v>
      </c>
      <c r="K445" s="1"/>
    </row>
    <row r="446" spans="1:11" ht="18.75" customHeight="1">
      <c r="A446" s="75" t="s">
        <v>42</v>
      </c>
      <c r="B446" s="41">
        <v>70</v>
      </c>
      <c r="C446" s="41">
        <v>2</v>
      </c>
      <c r="D446" s="47" t="s">
        <v>16</v>
      </c>
      <c r="E446" s="43" t="s">
        <v>15</v>
      </c>
      <c r="F446" s="37">
        <v>7</v>
      </c>
      <c r="G446" s="23">
        <v>0</v>
      </c>
      <c r="H446" s="44">
        <v>2465</v>
      </c>
      <c r="I446" s="44">
        <v>2484</v>
      </c>
      <c r="J446" s="1">
        <v>2523</v>
      </c>
      <c r="K446" s="1"/>
    </row>
    <row r="447" spans="1:11" ht="18.75" customHeight="1">
      <c r="A447" s="75" t="s">
        <v>42</v>
      </c>
      <c r="B447" s="41">
        <v>60</v>
      </c>
      <c r="C447" s="41">
        <v>1</v>
      </c>
      <c r="D447" s="47" t="s">
        <v>16</v>
      </c>
      <c r="E447" s="43" t="s">
        <v>15</v>
      </c>
      <c r="F447" s="37">
        <v>7</v>
      </c>
      <c r="G447" s="23">
        <v>0</v>
      </c>
      <c r="H447" s="44">
        <v>1978</v>
      </c>
      <c r="I447" s="44">
        <v>1999</v>
      </c>
      <c r="J447" s="1">
        <v>2045</v>
      </c>
      <c r="K447" s="1"/>
    </row>
    <row r="448" spans="1:11" ht="18.75" customHeight="1">
      <c r="A448" s="75" t="s">
        <v>42</v>
      </c>
      <c r="B448" s="41">
        <v>55</v>
      </c>
      <c r="C448" s="41">
        <v>1</v>
      </c>
      <c r="D448" s="47" t="s">
        <v>12</v>
      </c>
      <c r="E448" s="43" t="s">
        <v>13</v>
      </c>
      <c r="F448" s="37">
        <v>8</v>
      </c>
      <c r="G448" s="23">
        <v>0</v>
      </c>
      <c r="H448" s="44">
        <v>1858</v>
      </c>
      <c r="I448" s="44">
        <v>1880</v>
      </c>
      <c r="J448" s="1"/>
      <c r="K448" s="1"/>
    </row>
    <row r="449" spans="1:11" ht="18.75" customHeight="1">
      <c r="A449" s="75" t="s">
        <v>42</v>
      </c>
      <c r="B449" s="41">
        <v>60</v>
      </c>
      <c r="C449" s="41">
        <v>2</v>
      </c>
      <c r="D449" s="47" t="s">
        <v>14</v>
      </c>
      <c r="E449" s="43" t="s">
        <v>15</v>
      </c>
      <c r="F449" s="37">
        <v>8</v>
      </c>
      <c r="G449" s="23">
        <v>0</v>
      </c>
      <c r="H449" s="44">
        <v>2242</v>
      </c>
      <c r="I449" s="44">
        <v>2263</v>
      </c>
      <c r="J449" s="1">
        <v>2299</v>
      </c>
      <c r="K449" s="1"/>
    </row>
    <row r="450" spans="1:11" ht="18.75" customHeight="1">
      <c r="A450" s="75" t="s">
        <v>42</v>
      </c>
      <c r="B450" s="41">
        <v>55</v>
      </c>
      <c r="C450" s="41">
        <v>2</v>
      </c>
      <c r="D450" s="47" t="s">
        <v>12</v>
      </c>
      <c r="E450" s="43" t="s">
        <v>13</v>
      </c>
      <c r="F450" s="37">
        <v>7</v>
      </c>
      <c r="G450" s="23">
        <v>0</v>
      </c>
      <c r="H450" s="44">
        <v>2174</v>
      </c>
      <c r="I450" s="44">
        <v>2196</v>
      </c>
      <c r="J450" s="1"/>
      <c r="K450" s="1"/>
    </row>
    <row r="451" spans="1:11" ht="18.75" customHeight="1">
      <c r="A451" s="75" t="s">
        <v>42</v>
      </c>
      <c r="B451" s="41">
        <v>57</v>
      </c>
      <c r="C451" s="41">
        <v>1</v>
      </c>
      <c r="D451" s="47" t="s">
        <v>16</v>
      </c>
      <c r="E451" s="43" t="s">
        <v>15</v>
      </c>
      <c r="F451" s="37">
        <v>9</v>
      </c>
      <c r="G451" s="23">
        <v>0</v>
      </c>
      <c r="H451" s="44">
        <v>1849</v>
      </c>
      <c r="I451" s="44">
        <v>1871</v>
      </c>
      <c r="J451" s="1">
        <v>1922</v>
      </c>
      <c r="K451" s="1"/>
    </row>
    <row r="452" spans="1:11" ht="18.75" customHeight="1">
      <c r="A452" s="75" t="s">
        <v>42</v>
      </c>
      <c r="B452" s="41">
        <v>57</v>
      </c>
      <c r="C452" s="41">
        <v>2</v>
      </c>
      <c r="D452" s="47" t="s">
        <v>16</v>
      </c>
      <c r="E452" s="43" t="s">
        <v>15</v>
      </c>
      <c r="F452" s="37">
        <v>9</v>
      </c>
      <c r="G452" s="23">
        <v>0</v>
      </c>
      <c r="H452" s="44">
        <v>1491</v>
      </c>
      <c r="I452" s="44">
        <v>1512</v>
      </c>
      <c r="J452" s="1">
        <v>1569</v>
      </c>
      <c r="K452" s="1"/>
    </row>
    <row r="453" spans="1:11" ht="18.75" customHeight="1">
      <c r="A453" s="75" t="s">
        <v>42</v>
      </c>
      <c r="B453" s="41">
        <v>55</v>
      </c>
      <c r="C453" s="41">
        <v>3</v>
      </c>
      <c r="D453" s="47" t="s">
        <v>16</v>
      </c>
      <c r="E453" s="43" t="s">
        <v>15</v>
      </c>
      <c r="F453" s="37">
        <v>8</v>
      </c>
      <c r="G453" s="23">
        <v>0</v>
      </c>
      <c r="H453" s="44">
        <v>1257</v>
      </c>
      <c r="I453" s="44">
        <v>1279</v>
      </c>
      <c r="J453" s="1">
        <v>1312</v>
      </c>
      <c r="K453" s="1"/>
    </row>
    <row r="454" spans="1:11" ht="18.75" customHeight="1">
      <c r="A454" s="75" t="s">
        <v>42</v>
      </c>
      <c r="B454" s="41">
        <v>50</v>
      </c>
      <c r="C454" s="41">
        <v>2</v>
      </c>
      <c r="D454" s="47" t="s">
        <v>16</v>
      </c>
      <c r="E454" s="43" t="s">
        <v>15</v>
      </c>
      <c r="F454" s="37">
        <v>8</v>
      </c>
      <c r="G454" s="23">
        <v>0</v>
      </c>
      <c r="H454" s="44">
        <v>1636</v>
      </c>
      <c r="I454" s="44">
        <v>1660</v>
      </c>
      <c r="J454" s="1">
        <v>1718</v>
      </c>
      <c r="K454" s="1"/>
    </row>
    <row r="455" spans="1:11" ht="18.75" customHeight="1">
      <c r="A455" s="75" t="s">
        <v>42</v>
      </c>
      <c r="B455" s="41">
        <v>50</v>
      </c>
      <c r="C455" s="41">
        <v>3</v>
      </c>
      <c r="D455" s="47" t="s">
        <v>16</v>
      </c>
      <c r="E455" s="43" t="s">
        <v>15</v>
      </c>
      <c r="F455" s="37">
        <v>9</v>
      </c>
      <c r="G455" s="23">
        <v>0</v>
      </c>
      <c r="H455" s="44">
        <v>1288</v>
      </c>
      <c r="I455" s="44">
        <v>1312</v>
      </c>
      <c r="J455" s="1">
        <v>1342</v>
      </c>
      <c r="K455" s="1"/>
    </row>
    <row r="456" spans="1:11" ht="18.75" customHeight="1">
      <c r="A456" s="75" t="s">
        <v>42</v>
      </c>
      <c r="B456" s="41">
        <v>45</v>
      </c>
      <c r="C456" s="41">
        <v>1</v>
      </c>
      <c r="D456" s="47" t="s">
        <v>16</v>
      </c>
      <c r="E456" s="43" t="s">
        <v>15</v>
      </c>
      <c r="F456" s="37">
        <v>8</v>
      </c>
      <c r="G456" s="23">
        <v>0</v>
      </c>
      <c r="H456" s="44">
        <v>1462</v>
      </c>
      <c r="I456" s="44">
        <v>1489</v>
      </c>
      <c r="J456" s="1">
        <v>1540</v>
      </c>
      <c r="K456" s="1"/>
    </row>
    <row r="457" spans="1:11" ht="18.75" customHeight="1">
      <c r="A457" s="75" t="s">
        <v>42</v>
      </c>
      <c r="B457" s="41">
        <v>40</v>
      </c>
      <c r="C457" s="41">
        <v>1</v>
      </c>
      <c r="D457" s="42" t="s">
        <v>16</v>
      </c>
      <c r="E457" s="43" t="s">
        <v>15</v>
      </c>
      <c r="F457" s="37">
        <v>9</v>
      </c>
      <c r="G457" s="23">
        <v>0</v>
      </c>
      <c r="H457" s="44">
        <v>1571</v>
      </c>
      <c r="I457" s="44">
        <v>1600</v>
      </c>
      <c r="J457" s="1">
        <v>1629</v>
      </c>
      <c r="K457" s="1"/>
    </row>
    <row r="458" spans="1:11" ht="18.75" customHeight="1">
      <c r="A458" s="75" t="s">
        <v>42</v>
      </c>
      <c r="B458" s="41">
        <v>40</v>
      </c>
      <c r="C458" s="41">
        <v>2</v>
      </c>
      <c r="D458" s="42" t="s">
        <v>12</v>
      </c>
      <c r="E458" s="43" t="s">
        <v>13</v>
      </c>
      <c r="F458" s="37">
        <v>7</v>
      </c>
      <c r="G458" s="23">
        <v>0</v>
      </c>
      <c r="H458" s="44">
        <v>1406</v>
      </c>
      <c r="I458" s="44">
        <v>1435</v>
      </c>
      <c r="J458" s="1"/>
      <c r="K458" s="1"/>
    </row>
    <row r="459" spans="1:11" ht="18.75" customHeight="1">
      <c r="A459" s="75" t="s">
        <v>42</v>
      </c>
      <c r="B459" s="41">
        <v>50</v>
      </c>
      <c r="C459" s="41">
        <v>4</v>
      </c>
      <c r="D459" s="42" t="s">
        <v>16</v>
      </c>
      <c r="E459" s="43" t="s">
        <v>15</v>
      </c>
      <c r="F459" s="37">
        <v>8</v>
      </c>
      <c r="G459" s="23">
        <v>0</v>
      </c>
      <c r="H459" s="44">
        <v>1779</v>
      </c>
      <c r="I459" s="44">
        <v>1803</v>
      </c>
      <c r="J459" s="1">
        <v>1840</v>
      </c>
      <c r="K459" s="1"/>
    </row>
    <row r="460" spans="1:11" ht="18.75" customHeight="1">
      <c r="A460" s="75" t="s">
        <v>42</v>
      </c>
      <c r="B460" s="41">
        <v>45</v>
      </c>
      <c r="C460" s="41">
        <v>2</v>
      </c>
      <c r="D460" s="42" t="s">
        <v>12</v>
      </c>
      <c r="E460" s="43" t="s">
        <v>13</v>
      </c>
      <c r="F460" s="40">
        <v>7</v>
      </c>
      <c r="G460" s="23">
        <v>0</v>
      </c>
      <c r="H460" s="44">
        <v>1888</v>
      </c>
      <c r="I460" s="44">
        <v>1915</v>
      </c>
      <c r="J460" s="1"/>
      <c r="K460" s="1"/>
    </row>
    <row r="461" spans="1:11" ht="18.75" customHeight="1">
      <c r="A461" s="75" t="s">
        <v>43</v>
      </c>
      <c r="B461" s="41">
        <v>10</v>
      </c>
      <c r="C461" s="41">
        <v>1</v>
      </c>
      <c r="D461" s="42" t="s">
        <v>13</v>
      </c>
      <c r="E461" s="43" t="s">
        <v>13</v>
      </c>
      <c r="F461" s="40">
        <v>1</v>
      </c>
      <c r="G461" s="23">
        <v>0</v>
      </c>
      <c r="H461" s="44">
        <v>2127</v>
      </c>
      <c r="I461" s="44">
        <v>2232</v>
      </c>
      <c r="J461" s="1"/>
      <c r="K461" s="1"/>
    </row>
    <row r="462" spans="1:11" ht="18.75" customHeight="1">
      <c r="A462" s="75" t="s">
        <v>43</v>
      </c>
      <c r="B462" s="41">
        <v>40</v>
      </c>
      <c r="C462" s="41">
        <v>1</v>
      </c>
      <c r="D462" s="42" t="s">
        <v>12</v>
      </c>
      <c r="E462" s="43" t="s">
        <v>13</v>
      </c>
      <c r="F462" s="40">
        <v>2</v>
      </c>
      <c r="G462" s="23">
        <v>0</v>
      </c>
      <c r="H462" s="44">
        <v>1779</v>
      </c>
      <c r="I462" s="44">
        <v>1807</v>
      </c>
      <c r="J462" s="1"/>
      <c r="K462" s="1"/>
    </row>
    <row r="463" spans="1:11" ht="18.75" customHeight="1">
      <c r="A463" s="75" t="s">
        <v>43</v>
      </c>
      <c r="B463" s="41">
        <v>50</v>
      </c>
      <c r="C463" s="41">
        <v>1</v>
      </c>
      <c r="D463" s="42" t="s">
        <v>12</v>
      </c>
      <c r="E463" s="43" t="s">
        <v>13</v>
      </c>
      <c r="F463" s="40">
        <v>3</v>
      </c>
      <c r="G463" s="23">
        <v>0</v>
      </c>
      <c r="H463" s="44">
        <v>1518</v>
      </c>
      <c r="I463" s="44">
        <v>1542</v>
      </c>
      <c r="J463" s="1"/>
      <c r="K463" s="1"/>
    </row>
    <row r="464" spans="1:11" ht="18.75" customHeight="1">
      <c r="A464" s="75" t="s">
        <v>43</v>
      </c>
      <c r="B464" s="41">
        <v>70</v>
      </c>
      <c r="C464" s="41">
        <v>1</v>
      </c>
      <c r="D464" s="42" t="s">
        <v>12</v>
      </c>
      <c r="E464" s="43" t="s">
        <v>13</v>
      </c>
      <c r="F464" s="40">
        <v>2</v>
      </c>
      <c r="G464" s="23">
        <v>0</v>
      </c>
      <c r="H464" s="44">
        <v>2079</v>
      </c>
      <c r="I464" s="44">
        <v>2098</v>
      </c>
      <c r="J464" s="1"/>
      <c r="K464" s="1"/>
    </row>
    <row r="465" spans="1:11" ht="18.75" customHeight="1">
      <c r="A465" s="75" t="s">
        <v>43</v>
      </c>
      <c r="B465" s="41">
        <v>90</v>
      </c>
      <c r="C465" s="41">
        <v>1</v>
      </c>
      <c r="D465" s="42" t="s">
        <v>12</v>
      </c>
      <c r="E465" s="43" t="s">
        <v>13</v>
      </c>
      <c r="F465" s="40">
        <v>3</v>
      </c>
      <c r="G465" s="23">
        <v>0</v>
      </c>
      <c r="H465" s="44">
        <v>1780</v>
      </c>
      <c r="I465" s="44">
        <v>1796</v>
      </c>
      <c r="J465" s="1"/>
      <c r="K465" s="1"/>
    </row>
    <row r="466" spans="1:11" ht="18.75" customHeight="1">
      <c r="A466" s="75" t="s">
        <v>43</v>
      </c>
      <c r="B466" s="41">
        <v>110</v>
      </c>
      <c r="C466" s="41">
        <v>1</v>
      </c>
      <c r="D466" s="42" t="s">
        <v>12</v>
      </c>
      <c r="E466" s="43" t="s">
        <v>13</v>
      </c>
      <c r="F466" s="40">
        <v>2</v>
      </c>
      <c r="G466" s="23">
        <v>0</v>
      </c>
      <c r="H466" s="44">
        <v>1380</v>
      </c>
      <c r="I466" s="44">
        <v>1394</v>
      </c>
      <c r="J466" s="1"/>
      <c r="K466" s="1"/>
    </row>
    <row r="467" spans="1:11" ht="18.75" customHeight="1">
      <c r="A467" s="75" t="s">
        <v>43</v>
      </c>
      <c r="B467" s="41">
        <v>140</v>
      </c>
      <c r="C467" s="41">
        <v>1</v>
      </c>
      <c r="D467" s="42" t="s">
        <v>16</v>
      </c>
      <c r="E467" s="43" t="s">
        <v>15</v>
      </c>
      <c r="F467" s="40">
        <v>3</v>
      </c>
      <c r="G467" s="23">
        <v>0</v>
      </c>
      <c r="H467" s="44">
        <v>1855</v>
      </c>
      <c r="I467" s="44">
        <v>1868</v>
      </c>
      <c r="J467" s="1">
        <v>1879</v>
      </c>
      <c r="K467" s="1"/>
    </row>
    <row r="468" spans="1:11" ht="18.75" customHeight="1">
      <c r="A468" s="75" t="s">
        <v>43</v>
      </c>
      <c r="B468" s="41">
        <v>140</v>
      </c>
      <c r="C468" s="41">
        <v>2</v>
      </c>
      <c r="D468" s="42" t="s">
        <v>12</v>
      </c>
      <c r="E468" s="43" t="s">
        <v>13</v>
      </c>
      <c r="F468" s="40">
        <v>4</v>
      </c>
      <c r="G468" s="23">
        <v>0</v>
      </c>
      <c r="H468" s="44">
        <v>1694</v>
      </c>
      <c r="I468" s="44">
        <v>1707</v>
      </c>
      <c r="J468" s="1"/>
      <c r="K468" s="1"/>
    </row>
    <row r="469" spans="1:11" ht="18.75" customHeight="1">
      <c r="A469" s="75" t="s">
        <v>43</v>
      </c>
      <c r="B469" s="41">
        <v>150</v>
      </c>
      <c r="C469" s="41">
        <v>1</v>
      </c>
      <c r="D469" s="42" t="s">
        <v>12</v>
      </c>
      <c r="E469" s="43" t="s">
        <v>13</v>
      </c>
      <c r="F469" s="40">
        <v>3</v>
      </c>
      <c r="G469" s="23">
        <v>0</v>
      </c>
      <c r="H469" s="44">
        <v>1278</v>
      </c>
      <c r="I469" s="44">
        <v>1291</v>
      </c>
      <c r="J469" s="1"/>
      <c r="K469" s="1"/>
    </row>
    <row r="470" spans="1:11" ht="18.75" customHeight="1">
      <c r="A470" s="75" t="s">
        <v>43</v>
      </c>
      <c r="B470" s="41">
        <v>170</v>
      </c>
      <c r="C470" s="41">
        <v>1</v>
      </c>
      <c r="D470" s="42" t="s">
        <v>12</v>
      </c>
      <c r="E470" s="43" t="s">
        <v>13</v>
      </c>
      <c r="F470" s="40">
        <v>4</v>
      </c>
      <c r="G470" s="23">
        <v>0</v>
      </c>
      <c r="H470" s="44">
        <v>1287</v>
      </c>
      <c r="I470" s="44">
        <v>1300</v>
      </c>
      <c r="J470" s="1"/>
      <c r="K470" s="1"/>
    </row>
    <row r="471" spans="1:11" ht="18.75" customHeight="1">
      <c r="A471" s="75" t="s">
        <v>43</v>
      </c>
      <c r="B471" s="41">
        <v>190</v>
      </c>
      <c r="C471" s="41">
        <v>1</v>
      </c>
      <c r="D471" s="42" t="s">
        <v>12</v>
      </c>
      <c r="E471" s="43" t="s">
        <v>13</v>
      </c>
      <c r="F471" s="40">
        <v>4</v>
      </c>
      <c r="G471" s="23">
        <v>0</v>
      </c>
      <c r="H471" s="44">
        <v>2613</v>
      </c>
      <c r="I471" s="44">
        <v>2627</v>
      </c>
      <c r="J471" s="1"/>
      <c r="K471" s="1"/>
    </row>
    <row r="472" spans="1:11" ht="18.75" customHeight="1">
      <c r="A472" s="75" t="s">
        <v>43</v>
      </c>
      <c r="B472" s="41">
        <v>200</v>
      </c>
      <c r="C472" s="41">
        <v>1</v>
      </c>
      <c r="D472" s="42" t="s">
        <v>12</v>
      </c>
      <c r="E472" s="43" t="s">
        <v>13</v>
      </c>
      <c r="F472" s="40">
        <v>5</v>
      </c>
      <c r="G472" s="23">
        <v>0</v>
      </c>
      <c r="H472" s="44">
        <v>2049</v>
      </c>
      <c r="I472" s="44">
        <v>2063</v>
      </c>
      <c r="J472" s="1"/>
      <c r="K472" s="1"/>
    </row>
    <row r="473" spans="1:11" ht="18.75" customHeight="1">
      <c r="A473" s="75" t="s">
        <v>43</v>
      </c>
      <c r="B473" s="41">
        <v>200</v>
      </c>
      <c r="C473" s="41">
        <v>2</v>
      </c>
      <c r="D473" s="42" t="s">
        <v>12</v>
      </c>
      <c r="E473" s="43" t="s">
        <v>13</v>
      </c>
      <c r="F473" s="40">
        <v>5</v>
      </c>
      <c r="G473" s="23">
        <v>0</v>
      </c>
      <c r="H473" s="44">
        <v>1380</v>
      </c>
      <c r="I473" s="44">
        <v>1394</v>
      </c>
      <c r="J473" s="1"/>
      <c r="K473" s="1"/>
    </row>
    <row r="474" spans="1:11" ht="18.75" customHeight="1">
      <c r="A474" s="75" t="s">
        <v>44</v>
      </c>
      <c r="B474" s="41">
        <v>10</v>
      </c>
      <c r="C474" s="41">
        <v>1</v>
      </c>
      <c r="D474" s="47" t="s">
        <v>13</v>
      </c>
      <c r="E474" s="43" t="s">
        <v>13</v>
      </c>
      <c r="F474" s="40">
        <v>4</v>
      </c>
      <c r="G474" s="23">
        <v>0</v>
      </c>
      <c r="H474" s="44">
        <v>1813</v>
      </c>
      <c r="I474" s="44">
        <v>1918</v>
      </c>
      <c r="J474" s="1"/>
      <c r="K474" s="1"/>
    </row>
    <row r="475" spans="1:11" ht="18.75" customHeight="1">
      <c r="A475" s="75" t="s">
        <v>44</v>
      </c>
      <c r="B475" s="41">
        <v>25</v>
      </c>
      <c r="C475" s="41">
        <v>1</v>
      </c>
      <c r="D475" s="47" t="s">
        <v>16</v>
      </c>
      <c r="E475" s="43" t="s">
        <v>15</v>
      </c>
      <c r="F475" s="40">
        <v>4</v>
      </c>
      <c r="G475" s="23">
        <v>0</v>
      </c>
      <c r="H475" s="44">
        <v>1730</v>
      </c>
      <c r="I475" s="44">
        <v>1776</v>
      </c>
      <c r="J475" s="1">
        <v>1788</v>
      </c>
      <c r="K475" s="1"/>
    </row>
    <row r="476" spans="1:11" ht="18.75" customHeight="1">
      <c r="A476" s="75" t="s">
        <v>44</v>
      </c>
      <c r="B476" s="41">
        <v>25</v>
      </c>
      <c r="C476" s="41">
        <v>2</v>
      </c>
      <c r="D476" s="47" t="s">
        <v>14</v>
      </c>
      <c r="E476" s="43" t="s">
        <v>15</v>
      </c>
      <c r="F476" s="40">
        <v>5</v>
      </c>
      <c r="G476" s="23">
        <v>0</v>
      </c>
      <c r="H476" s="44">
        <v>1591</v>
      </c>
      <c r="I476" s="44">
        <v>1637</v>
      </c>
      <c r="J476" s="1">
        <v>1632</v>
      </c>
      <c r="K476" s="1"/>
    </row>
    <row r="477" spans="1:11" ht="18.75" customHeight="1">
      <c r="A477" s="75" t="s">
        <v>44</v>
      </c>
      <c r="B477" s="41">
        <v>25</v>
      </c>
      <c r="C477" s="41">
        <v>3</v>
      </c>
      <c r="D477" s="47" t="s">
        <v>14</v>
      </c>
      <c r="E477" s="43" t="s">
        <v>15</v>
      </c>
      <c r="F477" s="40">
        <v>5</v>
      </c>
      <c r="G477" s="23">
        <v>0</v>
      </c>
      <c r="H477" s="44">
        <v>2637</v>
      </c>
      <c r="I477" s="44">
        <v>2682</v>
      </c>
      <c r="J477" s="1">
        <v>2676</v>
      </c>
      <c r="K477" s="1"/>
    </row>
    <row r="478" spans="1:11" ht="18.75" customHeight="1">
      <c r="A478" s="75" t="s">
        <v>44</v>
      </c>
      <c r="B478" s="41">
        <v>20</v>
      </c>
      <c r="C478" s="41">
        <v>1</v>
      </c>
      <c r="D478" s="47" t="s">
        <v>12</v>
      </c>
      <c r="E478" s="43" t="s">
        <v>13</v>
      </c>
      <c r="F478" s="40">
        <v>4</v>
      </c>
      <c r="G478" s="23">
        <v>0</v>
      </c>
      <c r="H478" s="44">
        <v>2047</v>
      </c>
      <c r="I478" s="44">
        <v>2102</v>
      </c>
      <c r="J478" s="1"/>
      <c r="K478" s="1"/>
    </row>
    <row r="479" spans="1:11" ht="18.75" customHeight="1">
      <c r="A479" s="75" t="s">
        <v>44</v>
      </c>
      <c r="B479" s="41">
        <v>21</v>
      </c>
      <c r="C479" s="41">
        <v>1</v>
      </c>
      <c r="D479" s="47" t="s">
        <v>14</v>
      </c>
      <c r="E479" s="43" t="s">
        <v>15</v>
      </c>
      <c r="F479" s="40">
        <v>6</v>
      </c>
      <c r="G479" s="23">
        <v>0</v>
      </c>
      <c r="H479" s="44">
        <v>2064</v>
      </c>
      <c r="I479" s="44">
        <v>2117</v>
      </c>
      <c r="J479" s="1">
        <v>2111</v>
      </c>
      <c r="K479" s="1"/>
    </row>
    <row r="480" spans="1:11" ht="18.75" customHeight="1">
      <c r="A480" s="75" t="s">
        <v>44</v>
      </c>
      <c r="B480" s="41">
        <v>21</v>
      </c>
      <c r="C480" s="41">
        <v>2</v>
      </c>
      <c r="D480" s="47" t="s">
        <v>14</v>
      </c>
      <c r="E480" s="43" t="s">
        <v>15</v>
      </c>
      <c r="F480" s="40">
        <v>4</v>
      </c>
      <c r="G480" s="23">
        <v>0</v>
      </c>
      <c r="H480" s="44">
        <v>2232</v>
      </c>
      <c r="I480" s="44">
        <v>2285</v>
      </c>
      <c r="J480" s="1">
        <v>2286</v>
      </c>
      <c r="K480" s="1"/>
    </row>
    <row r="481" spans="1:11" ht="18.75" customHeight="1">
      <c r="A481" s="75" t="s">
        <v>44</v>
      </c>
      <c r="B481" s="41">
        <v>21</v>
      </c>
      <c r="C481" s="41">
        <v>3</v>
      </c>
      <c r="D481" s="47" t="s">
        <v>14</v>
      </c>
      <c r="E481" s="43" t="s">
        <v>15</v>
      </c>
      <c r="F481" s="40">
        <v>6</v>
      </c>
      <c r="G481" s="23">
        <v>0</v>
      </c>
      <c r="H481" s="44">
        <v>2806</v>
      </c>
      <c r="I481" s="44">
        <v>2858</v>
      </c>
      <c r="J481" s="1">
        <v>2843</v>
      </c>
      <c r="K481" s="1"/>
    </row>
    <row r="482" spans="1:11" ht="18.75" customHeight="1">
      <c r="A482" s="75" t="s">
        <v>44</v>
      </c>
      <c r="B482" s="41">
        <v>20</v>
      </c>
      <c r="C482" s="41">
        <v>2</v>
      </c>
      <c r="D482" s="47" t="s">
        <v>14</v>
      </c>
      <c r="E482" s="43" t="s">
        <v>15</v>
      </c>
      <c r="F482" s="40">
        <v>6</v>
      </c>
      <c r="G482" s="23">
        <v>0</v>
      </c>
      <c r="H482" s="44">
        <v>2151</v>
      </c>
      <c r="I482" s="44">
        <v>2206</v>
      </c>
      <c r="J482" s="1">
        <v>2194</v>
      </c>
      <c r="K482" s="1"/>
    </row>
    <row r="483" spans="1:11" ht="18.75" customHeight="1">
      <c r="A483" s="75" t="s">
        <v>44</v>
      </c>
      <c r="B483" s="41">
        <v>20</v>
      </c>
      <c r="C483" s="41">
        <v>3</v>
      </c>
      <c r="D483" s="47" t="s">
        <v>14</v>
      </c>
      <c r="E483" s="43" t="s">
        <v>15</v>
      </c>
      <c r="F483" s="40">
        <v>5</v>
      </c>
      <c r="G483" s="23">
        <v>0</v>
      </c>
      <c r="H483" s="44">
        <v>1883</v>
      </c>
      <c r="I483" s="44">
        <v>1939</v>
      </c>
      <c r="J483" s="1">
        <v>1917</v>
      </c>
      <c r="K483" s="1"/>
    </row>
    <row r="484" spans="1:11" ht="18.75" customHeight="1">
      <c r="A484" s="75" t="s">
        <v>44</v>
      </c>
      <c r="B484" s="41">
        <v>18</v>
      </c>
      <c r="C484" s="41">
        <v>1</v>
      </c>
      <c r="D484" s="47" t="s">
        <v>14</v>
      </c>
      <c r="E484" s="43" t="s">
        <v>15</v>
      </c>
      <c r="F484" s="40">
        <v>4</v>
      </c>
      <c r="G484" s="23">
        <v>0</v>
      </c>
      <c r="H484" s="44">
        <v>1931</v>
      </c>
      <c r="I484" s="44">
        <v>1991</v>
      </c>
      <c r="J484" s="1">
        <v>1965</v>
      </c>
      <c r="K484" s="1"/>
    </row>
    <row r="485" spans="1:11" ht="18.75" customHeight="1">
      <c r="A485" s="75" t="s">
        <v>44</v>
      </c>
      <c r="B485" s="41">
        <v>18</v>
      </c>
      <c r="C485" s="41">
        <v>2</v>
      </c>
      <c r="D485" s="47" t="s">
        <v>14</v>
      </c>
      <c r="E485" s="43" t="s">
        <v>15</v>
      </c>
      <c r="F485" s="40">
        <v>3</v>
      </c>
      <c r="G485" s="23">
        <v>0</v>
      </c>
      <c r="H485" s="44">
        <v>2001</v>
      </c>
      <c r="I485" s="44">
        <v>2066</v>
      </c>
      <c r="J485" s="1">
        <v>2059</v>
      </c>
      <c r="K485" s="1"/>
    </row>
    <row r="486" spans="1:11" ht="18.75" customHeight="1">
      <c r="A486" s="75" t="s">
        <v>44</v>
      </c>
      <c r="B486" s="41">
        <v>16</v>
      </c>
      <c r="C486" s="41">
        <v>1</v>
      </c>
      <c r="D486" s="47" t="s">
        <v>16</v>
      </c>
      <c r="E486" s="43" t="s">
        <v>15</v>
      </c>
      <c r="F486" s="40">
        <v>4</v>
      </c>
      <c r="G486" s="23">
        <v>0</v>
      </c>
      <c r="H486" s="44">
        <v>1890</v>
      </c>
      <c r="I486" s="44">
        <v>1958</v>
      </c>
      <c r="J486" s="1">
        <v>1952</v>
      </c>
      <c r="K486" s="1"/>
    </row>
    <row r="487" spans="1:11" ht="18.75" customHeight="1">
      <c r="A487" s="75" t="s">
        <v>44</v>
      </c>
      <c r="B487" s="41">
        <v>10</v>
      </c>
      <c r="C487" s="41">
        <v>2</v>
      </c>
      <c r="D487" s="47" t="s">
        <v>12</v>
      </c>
      <c r="E487" s="43" t="s">
        <v>13</v>
      </c>
      <c r="F487" s="40">
        <v>2</v>
      </c>
      <c r="G487" s="23">
        <v>0</v>
      </c>
      <c r="H487" s="44">
        <v>2755</v>
      </c>
      <c r="I487" s="44">
        <v>2862</v>
      </c>
      <c r="J487" s="1"/>
      <c r="K487" s="1"/>
    </row>
    <row r="488" spans="1:11" ht="18.75" customHeight="1">
      <c r="A488" s="75" t="s">
        <v>44</v>
      </c>
      <c r="B488" s="41">
        <v>16</v>
      </c>
      <c r="C488" s="41">
        <v>2</v>
      </c>
      <c r="D488" s="47" t="s">
        <v>14</v>
      </c>
      <c r="E488" s="43" t="s">
        <v>15</v>
      </c>
      <c r="F488" s="40">
        <v>5</v>
      </c>
      <c r="G488" s="23">
        <v>0</v>
      </c>
      <c r="H488" s="44">
        <v>3535</v>
      </c>
      <c r="I488" s="44">
        <v>3602</v>
      </c>
      <c r="J488" s="1">
        <v>3598</v>
      </c>
      <c r="K488" s="1"/>
    </row>
    <row r="489" spans="1:11" ht="18.75" customHeight="1">
      <c r="A489" s="75" t="s">
        <v>44</v>
      </c>
      <c r="B489" s="41">
        <v>14</v>
      </c>
      <c r="C489" s="41">
        <v>1</v>
      </c>
      <c r="D489" s="47" t="s">
        <v>12</v>
      </c>
      <c r="E489" s="43" t="s">
        <v>13</v>
      </c>
      <c r="F489" s="40">
        <v>3</v>
      </c>
      <c r="G489" s="23">
        <v>0</v>
      </c>
      <c r="H489" s="44">
        <v>2188</v>
      </c>
      <c r="I489" s="44">
        <v>2263</v>
      </c>
      <c r="J489" s="1"/>
      <c r="K489" s="1"/>
    </row>
    <row r="490" spans="1:11" ht="18.75" customHeight="1">
      <c r="A490" s="75" t="s">
        <v>44</v>
      </c>
      <c r="B490" s="41">
        <v>14</v>
      </c>
      <c r="C490" s="41">
        <v>2</v>
      </c>
      <c r="D490" s="47" t="s">
        <v>16</v>
      </c>
      <c r="E490" s="43" t="s">
        <v>15</v>
      </c>
      <c r="F490" s="40">
        <v>4</v>
      </c>
      <c r="G490" s="23">
        <v>0</v>
      </c>
      <c r="H490" s="44">
        <v>1903</v>
      </c>
      <c r="I490" s="44">
        <v>1980</v>
      </c>
      <c r="J490" s="1">
        <v>1948</v>
      </c>
      <c r="K490" s="1"/>
    </row>
    <row r="491" spans="1:11" ht="18.75" customHeight="1">
      <c r="A491" s="75" t="s">
        <v>44</v>
      </c>
      <c r="B491" s="41">
        <v>14</v>
      </c>
      <c r="C491" s="41">
        <v>3</v>
      </c>
      <c r="D491" s="42" t="s">
        <v>12</v>
      </c>
      <c r="E491" s="43" t="s">
        <v>13</v>
      </c>
      <c r="F491" s="40">
        <v>3</v>
      </c>
      <c r="G491" s="23">
        <v>0</v>
      </c>
      <c r="H491" s="44">
        <v>2313</v>
      </c>
      <c r="I491" s="44">
        <v>2391</v>
      </c>
      <c r="J491" s="1"/>
      <c r="K491" s="1"/>
    </row>
    <row r="492" spans="1:11" ht="18.75" customHeight="1">
      <c r="A492" s="75" t="s">
        <v>45</v>
      </c>
      <c r="B492" s="41">
        <v>10</v>
      </c>
      <c r="C492" s="41">
        <v>1</v>
      </c>
      <c r="D492" s="42" t="s">
        <v>13</v>
      </c>
      <c r="E492" s="43" t="s">
        <v>13</v>
      </c>
      <c r="F492" s="40">
        <v>3</v>
      </c>
      <c r="G492" s="23">
        <v>0</v>
      </c>
      <c r="H492" s="44">
        <v>2220</v>
      </c>
      <c r="I492" s="44">
        <v>2326</v>
      </c>
      <c r="J492" s="1"/>
      <c r="K492" s="1"/>
    </row>
    <row r="493" spans="1:11" ht="18.75" customHeight="1">
      <c r="A493" s="75" t="s">
        <v>45</v>
      </c>
      <c r="B493" s="41">
        <v>25</v>
      </c>
      <c r="C493" s="41">
        <v>1</v>
      </c>
      <c r="D493" s="42" t="s">
        <v>16</v>
      </c>
      <c r="E493" s="43" t="s">
        <v>15</v>
      </c>
      <c r="F493" s="40">
        <v>6</v>
      </c>
      <c r="G493" s="23">
        <v>0</v>
      </c>
      <c r="H493" s="44">
        <v>1590</v>
      </c>
      <c r="I493" s="44">
        <v>1636</v>
      </c>
      <c r="J493" s="1">
        <v>1620</v>
      </c>
      <c r="K493" s="1"/>
    </row>
    <row r="494" spans="1:11" ht="18.75" customHeight="1">
      <c r="A494" s="75" t="s">
        <v>45</v>
      </c>
      <c r="B494" s="41">
        <v>20</v>
      </c>
      <c r="C494" s="41">
        <v>1</v>
      </c>
      <c r="D494" s="42" t="s">
        <v>12</v>
      </c>
      <c r="E494" s="43" t="s">
        <v>13</v>
      </c>
      <c r="F494" s="40">
        <v>5</v>
      </c>
      <c r="G494" s="23">
        <v>1</v>
      </c>
      <c r="H494" s="44">
        <v>1381</v>
      </c>
      <c r="I494" s="44">
        <v>1437</v>
      </c>
      <c r="J494" s="1"/>
      <c r="K494" s="1"/>
    </row>
    <row r="495" spans="1:11" ht="18.75" customHeight="1">
      <c r="A495" s="75" t="s">
        <v>45</v>
      </c>
      <c r="B495" s="41">
        <v>20</v>
      </c>
      <c r="C495" s="41">
        <v>2</v>
      </c>
      <c r="D495" s="42" t="s">
        <v>16</v>
      </c>
      <c r="E495" s="43" t="s">
        <v>15</v>
      </c>
      <c r="F495" s="40">
        <v>5</v>
      </c>
      <c r="G495" s="23">
        <v>1</v>
      </c>
      <c r="H495" s="44">
        <v>1533</v>
      </c>
      <c r="I495" s="44">
        <v>1589</v>
      </c>
      <c r="J495" s="1">
        <v>1566</v>
      </c>
      <c r="K495" s="1"/>
    </row>
    <row r="496" spans="1:11" ht="18.75" customHeight="1">
      <c r="A496" s="75" t="s">
        <v>45</v>
      </c>
      <c r="B496" s="41">
        <v>20</v>
      </c>
      <c r="C496" s="41">
        <v>3</v>
      </c>
      <c r="D496" s="42" t="s">
        <v>12</v>
      </c>
      <c r="E496" s="43" t="s">
        <v>13</v>
      </c>
      <c r="F496" s="40">
        <v>6</v>
      </c>
      <c r="G496" s="23">
        <v>1</v>
      </c>
      <c r="H496" s="44">
        <v>2115</v>
      </c>
      <c r="I496" s="44">
        <v>2169</v>
      </c>
      <c r="J496" s="1"/>
      <c r="K496" s="1"/>
    </row>
    <row r="497" spans="1:11" ht="18.75" customHeight="1">
      <c r="A497" s="75" t="s">
        <v>45</v>
      </c>
      <c r="B497" s="41">
        <v>20</v>
      </c>
      <c r="C497" s="41">
        <v>4</v>
      </c>
      <c r="D497" s="42" t="s">
        <v>16</v>
      </c>
      <c r="E497" s="43" t="s">
        <v>15</v>
      </c>
      <c r="F497" s="40">
        <v>7</v>
      </c>
      <c r="G497" s="23">
        <v>1</v>
      </c>
      <c r="H497" s="44">
        <v>2442</v>
      </c>
      <c r="I497" s="44">
        <v>2497</v>
      </c>
      <c r="J497" s="1">
        <v>2478</v>
      </c>
      <c r="K497" s="1"/>
    </row>
    <row r="498" spans="1:11" ht="18.75" customHeight="1">
      <c r="A498" s="75" t="s">
        <v>45</v>
      </c>
      <c r="B498" s="41">
        <v>20</v>
      </c>
      <c r="C498" s="41">
        <v>5</v>
      </c>
      <c r="D498" s="42" t="s">
        <v>16</v>
      </c>
      <c r="E498" s="43" t="s">
        <v>15</v>
      </c>
      <c r="F498" s="40">
        <v>7</v>
      </c>
      <c r="G498" s="23">
        <v>1</v>
      </c>
      <c r="H498" s="44">
        <v>1566</v>
      </c>
      <c r="I498" s="44">
        <v>1622</v>
      </c>
      <c r="J498" s="1">
        <v>1600</v>
      </c>
      <c r="K498" s="1"/>
    </row>
    <row r="499" spans="1:11" ht="18.75" customHeight="1">
      <c r="A499" s="75" t="s">
        <v>45</v>
      </c>
      <c r="B499" s="41">
        <v>20</v>
      </c>
      <c r="C499" s="41">
        <v>6</v>
      </c>
      <c r="D499" s="42" t="s">
        <v>16</v>
      </c>
      <c r="E499" s="43" t="s">
        <v>15</v>
      </c>
      <c r="F499" s="40">
        <v>7</v>
      </c>
      <c r="G499" s="23">
        <v>1</v>
      </c>
      <c r="H499" s="44">
        <v>2094</v>
      </c>
      <c r="I499" s="44">
        <v>2149</v>
      </c>
      <c r="J499" s="1">
        <v>2132</v>
      </c>
      <c r="K499" s="1"/>
    </row>
    <row r="500" spans="1:11" ht="18.75" customHeight="1">
      <c r="A500" s="75" t="s">
        <v>45</v>
      </c>
      <c r="B500" s="41">
        <v>18</v>
      </c>
      <c r="C500" s="41">
        <v>1</v>
      </c>
      <c r="D500" s="42" t="s">
        <v>12</v>
      </c>
      <c r="E500" s="43" t="s">
        <v>13</v>
      </c>
      <c r="F500" s="40">
        <v>6</v>
      </c>
      <c r="G500" s="23">
        <v>0</v>
      </c>
      <c r="H500" s="44">
        <v>1945</v>
      </c>
      <c r="I500" s="44">
        <v>2005</v>
      </c>
      <c r="J500" s="1"/>
      <c r="K500" s="1"/>
    </row>
    <row r="501" spans="1:11" ht="18.75" customHeight="1">
      <c r="A501" s="75" t="s">
        <v>45</v>
      </c>
      <c r="B501" s="41">
        <v>18</v>
      </c>
      <c r="C501" s="41">
        <v>2</v>
      </c>
      <c r="D501" s="42" t="s">
        <v>12</v>
      </c>
      <c r="E501" s="43" t="s">
        <v>13</v>
      </c>
      <c r="F501" s="40">
        <v>8</v>
      </c>
      <c r="G501" s="23">
        <v>0</v>
      </c>
      <c r="H501" s="44">
        <v>3851</v>
      </c>
      <c r="I501" s="44">
        <v>3911</v>
      </c>
      <c r="J501" s="1"/>
      <c r="K501" s="1"/>
    </row>
    <row r="502" spans="1:11" ht="18.75" customHeight="1">
      <c r="A502" s="75" t="s">
        <v>45</v>
      </c>
      <c r="B502" s="41">
        <v>18</v>
      </c>
      <c r="C502" s="41">
        <v>3</v>
      </c>
      <c r="D502" s="42" t="s">
        <v>12</v>
      </c>
      <c r="E502" s="43" t="s">
        <v>13</v>
      </c>
      <c r="F502" s="40">
        <v>8</v>
      </c>
      <c r="G502" s="23">
        <v>0</v>
      </c>
      <c r="H502" s="44">
        <v>3127</v>
      </c>
      <c r="I502" s="44">
        <v>3186</v>
      </c>
      <c r="J502" s="1"/>
      <c r="K502" s="1"/>
    </row>
    <row r="503" spans="1:11" ht="18.75" customHeight="1">
      <c r="A503" s="75" t="s">
        <v>45</v>
      </c>
      <c r="B503" s="41">
        <v>23</v>
      </c>
      <c r="C503" s="41">
        <v>1</v>
      </c>
      <c r="D503" s="42" t="s">
        <v>16</v>
      </c>
      <c r="E503" s="43" t="s">
        <v>15</v>
      </c>
      <c r="F503" s="40">
        <v>8</v>
      </c>
      <c r="G503" s="23">
        <v>0</v>
      </c>
      <c r="H503" s="44">
        <v>2362</v>
      </c>
      <c r="I503" s="44">
        <v>2411</v>
      </c>
      <c r="J503" s="1">
        <v>2391</v>
      </c>
      <c r="K503" s="1"/>
    </row>
    <row r="504" spans="1:11" ht="18.75" customHeight="1">
      <c r="A504" s="75" t="s">
        <v>45</v>
      </c>
      <c r="B504" s="41">
        <v>23</v>
      </c>
      <c r="C504" s="41">
        <v>2</v>
      </c>
      <c r="D504" s="42" t="s">
        <v>16</v>
      </c>
      <c r="E504" s="43" t="s">
        <v>15</v>
      </c>
      <c r="F504" s="40">
        <v>8</v>
      </c>
      <c r="G504" s="23">
        <v>0</v>
      </c>
      <c r="H504" s="44">
        <v>1649</v>
      </c>
      <c r="I504" s="44">
        <v>1697</v>
      </c>
      <c r="J504" s="1">
        <v>1679</v>
      </c>
      <c r="K504" s="1"/>
    </row>
    <row r="505" spans="1:11" ht="18.75" customHeight="1">
      <c r="A505" s="75" t="s">
        <v>45</v>
      </c>
      <c r="B505" s="41">
        <v>21</v>
      </c>
      <c r="C505" s="41">
        <v>1</v>
      </c>
      <c r="D505" s="42" t="s">
        <v>14</v>
      </c>
      <c r="E505" s="43" t="s">
        <v>15</v>
      </c>
      <c r="F505" s="40">
        <v>8</v>
      </c>
      <c r="G505" s="23">
        <v>0</v>
      </c>
      <c r="H505" s="44">
        <v>2837</v>
      </c>
      <c r="I505" s="44">
        <v>2889</v>
      </c>
      <c r="J505" s="1">
        <v>2863</v>
      </c>
      <c r="K505" s="1"/>
    </row>
    <row r="506" spans="1:11" ht="18.75" customHeight="1">
      <c r="A506" s="75" t="s">
        <v>45</v>
      </c>
      <c r="B506" s="41">
        <v>21</v>
      </c>
      <c r="C506" s="41">
        <v>2</v>
      </c>
      <c r="D506" s="42" t="s">
        <v>16</v>
      </c>
      <c r="E506" s="43" t="s">
        <v>15</v>
      </c>
      <c r="F506" s="40">
        <v>9</v>
      </c>
      <c r="G506" s="23">
        <v>0</v>
      </c>
      <c r="H506" s="44">
        <v>2395</v>
      </c>
      <c r="I506" s="44">
        <v>2448</v>
      </c>
      <c r="J506" s="1">
        <v>2432</v>
      </c>
      <c r="K506" s="1"/>
    </row>
    <row r="507" spans="1:11" ht="18.75" customHeight="1">
      <c r="A507" s="75" t="s">
        <v>45</v>
      </c>
      <c r="B507" s="41">
        <v>18</v>
      </c>
      <c r="C507" s="41">
        <v>4</v>
      </c>
      <c r="D507" s="42" t="s">
        <v>12</v>
      </c>
      <c r="E507" s="43" t="s">
        <v>13</v>
      </c>
      <c r="F507" s="40">
        <v>8</v>
      </c>
      <c r="G507" s="23">
        <v>0</v>
      </c>
      <c r="H507" s="44">
        <v>1537</v>
      </c>
      <c r="I507" s="44">
        <v>1598</v>
      </c>
      <c r="J507" s="1"/>
      <c r="K507" s="1"/>
    </row>
    <row r="508" spans="1:11" ht="18.75" customHeight="1">
      <c r="A508" s="75" t="s">
        <v>45</v>
      </c>
      <c r="B508" s="41">
        <v>19</v>
      </c>
      <c r="C508" s="41">
        <v>1</v>
      </c>
      <c r="D508" s="42" t="s">
        <v>16</v>
      </c>
      <c r="E508" s="43" t="s">
        <v>15</v>
      </c>
      <c r="F508" s="40">
        <v>9</v>
      </c>
      <c r="G508" s="23">
        <v>0</v>
      </c>
      <c r="H508" s="44">
        <v>2074</v>
      </c>
      <c r="I508" s="44">
        <v>2132</v>
      </c>
      <c r="J508" s="1">
        <v>2110</v>
      </c>
      <c r="K508" s="1"/>
    </row>
    <row r="509" spans="1:11" ht="18.75" customHeight="1">
      <c r="A509" s="75" t="s">
        <v>45</v>
      </c>
      <c r="B509" s="41">
        <v>20</v>
      </c>
      <c r="C509" s="41">
        <v>7</v>
      </c>
      <c r="D509" s="42" t="s">
        <v>14</v>
      </c>
      <c r="E509" s="43" t="s">
        <v>15</v>
      </c>
      <c r="F509" s="40">
        <v>9</v>
      </c>
      <c r="G509" s="23">
        <v>1</v>
      </c>
      <c r="H509" s="44">
        <v>2094</v>
      </c>
      <c r="I509" s="44">
        <v>2150</v>
      </c>
      <c r="J509" s="1">
        <v>2118</v>
      </c>
      <c r="K509" s="1"/>
    </row>
    <row r="510" spans="1:11" ht="18.75" customHeight="1">
      <c r="A510" s="75" t="s">
        <v>45</v>
      </c>
      <c r="B510" s="41">
        <v>19</v>
      </c>
      <c r="C510" s="41">
        <v>2</v>
      </c>
      <c r="D510" s="42" t="s">
        <v>16</v>
      </c>
      <c r="E510" s="43" t="s">
        <v>15</v>
      </c>
      <c r="F510" s="40">
        <v>9</v>
      </c>
      <c r="G510" s="23">
        <v>0</v>
      </c>
      <c r="H510" s="44">
        <v>2314</v>
      </c>
      <c r="I510" s="44">
        <v>2372</v>
      </c>
      <c r="J510" s="1">
        <v>2369</v>
      </c>
      <c r="K510" s="1"/>
    </row>
    <row r="511" spans="1:11" ht="18.75" customHeight="1">
      <c r="A511" s="75" t="s">
        <v>46</v>
      </c>
      <c r="B511" s="41">
        <v>10</v>
      </c>
      <c r="C511" s="41">
        <v>1</v>
      </c>
      <c r="D511" s="42" t="s">
        <v>13</v>
      </c>
      <c r="E511" s="43" t="s">
        <v>13</v>
      </c>
      <c r="F511" s="40">
        <v>3</v>
      </c>
      <c r="G511" s="23">
        <v>0</v>
      </c>
      <c r="H511" s="44">
        <v>2453</v>
      </c>
      <c r="I511" s="44">
        <v>2556</v>
      </c>
      <c r="J511" s="1"/>
      <c r="K511" s="1"/>
    </row>
    <row r="512" spans="1:11" ht="18.75" customHeight="1">
      <c r="A512" s="75" t="s">
        <v>46</v>
      </c>
      <c r="B512" s="41">
        <v>35</v>
      </c>
      <c r="C512" s="41">
        <v>1</v>
      </c>
      <c r="D512" s="42" t="s">
        <v>14</v>
      </c>
      <c r="E512" s="43" t="s">
        <v>15</v>
      </c>
      <c r="F512" s="40">
        <v>5</v>
      </c>
      <c r="G512" s="23">
        <v>1</v>
      </c>
      <c r="H512" s="44">
        <v>1787</v>
      </c>
      <c r="I512" s="44">
        <v>1821</v>
      </c>
      <c r="J512" s="1">
        <v>1834</v>
      </c>
      <c r="K512" s="1"/>
    </row>
    <row r="513" spans="1:11" ht="18.75" customHeight="1">
      <c r="A513" s="75" t="s">
        <v>46</v>
      </c>
      <c r="B513" s="41">
        <v>35</v>
      </c>
      <c r="C513" s="41">
        <v>2</v>
      </c>
      <c r="D513" s="42" t="s">
        <v>12</v>
      </c>
      <c r="E513" s="43" t="s">
        <v>13</v>
      </c>
      <c r="F513" s="40">
        <v>7</v>
      </c>
      <c r="G513" s="23">
        <v>1</v>
      </c>
      <c r="H513" s="44">
        <v>2657</v>
      </c>
      <c r="I513" s="44">
        <v>2691</v>
      </c>
      <c r="J513" s="1"/>
      <c r="K513" s="1"/>
    </row>
    <row r="514" spans="1:11" ht="18.75" customHeight="1">
      <c r="A514" s="75" t="s">
        <v>46</v>
      </c>
      <c r="B514" s="41">
        <v>40</v>
      </c>
      <c r="C514" s="41">
        <v>1</v>
      </c>
      <c r="D514" s="42" t="s">
        <v>14</v>
      </c>
      <c r="E514" s="43" t="s">
        <v>15</v>
      </c>
      <c r="F514" s="40">
        <v>7</v>
      </c>
      <c r="G514" s="23">
        <v>0</v>
      </c>
      <c r="H514" s="44">
        <v>3382</v>
      </c>
      <c r="I514" s="44">
        <v>3411</v>
      </c>
      <c r="J514" s="1">
        <v>3407</v>
      </c>
      <c r="K514" s="1"/>
    </row>
    <row r="515" spans="1:11" ht="18.75" customHeight="1">
      <c r="A515" s="75" t="s">
        <v>46</v>
      </c>
      <c r="B515" s="41">
        <v>37</v>
      </c>
      <c r="C515" s="41">
        <v>1</v>
      </c>
      <c r="D515" s="42" t="s">
        <v>14</v>
      </c>
      <c r="E515" s="43" t="s">
        <v>15</v>
      </c>
      <c r="F515" s="40">
        <v>5</v>
      </c>
      <c r="G515" s="23">
        <v>0</v>
      </c>
      <c r="H515" s="44">
        <v>3434</v>
      </c>
      <c r="I515" s="44">
        <v>3466</v>
      </c>
      <c r="J515" s="1">
        <v>3517</v>
      </c>
      <c r="K515" s="1"/>
    </row>
    <row r="516" spans="1:11" ht="18.75" customHeight="1">
      <c r="A516" s="75" t="s">
        <v>46</v>
      </c>
      <c r="B516" s="41">
        <v>37</v>
      </c>
      <c r="C516" s="41">
        <v>2</v>
      </c>
      <c r="D516" s="42" t="s">
        <v>14</v>
      </c>
      <c r="E516" s="43" t="s">
        <v>15</v>
      </c>
      <c r="F516" s="40">
        <v>7</v>
      </c>
      <c r="G516" s="23">
        <v>0</v>
      </c>
      <c r="H516" s="44">
        <v>1139</v>
      </c>
      <c r="I516" s="44">
        <v>1171</v>
      </c>
      <c r="J516" s="1">
        <v>1170</v>
      </c>
      <c r="K516" s="1"/>
    </row>
    <row r="517" spans="1:11" ht="18.75" customHeight="1">
      <c r="A517" s="75" t="s">
        <v>46</v>
      </c>
      <c r="B517" s="41">
        <v>37</v>
      </c>
      <c r="C517" s="41">
        <v>3</v>
      </c>
      <c r="D517" s="42" t="s">
        <v>14</v>
      </c>
      <c r="E517" s="43" t="s">
        <v>15</v>
      </c>
      <c r="F517" s="40">
        <v>5</v>
      </c>
      <c r="G517" s="23">
        <v>0</v>
      </c>
      <c r="H517" s="44">
        <v>2492</v>
      </c>
      <c r="I517" s="44">
        <v>2524</v>
      </c>
      <c r="J517" s="1">
        <v>2534</v>
      </c>
      <c r="K517" s="1"/>
    </row>
    <row r="518" spans="1:11" ht="18.75" customHeight="1">
      <c r="A518" s="75" t="s">
        <v>46</v>
      </c>
      <c r="B518" s="41">
        <v>35</v>
      </c>
      <c r="C518" s="41">
        <v>3</v>
      </c>
      <c r="D518" s="42" t="s">
        <v>14</v>
      </c>
      <c r="E518" s="43" t="s">
        <v>15</v>
      </c>
      <c r="F518" s="40">
        <v>4</v>
      </c>
      <c r="G518" s="23">
        <v>1</v>
      </c>
      <c r="H518" s="44">
        <v>3455</v>
      </c>
      <c r="I518" s="44">
        <v>3487</v>
      </c>
      <c r="J518" s="1">
        <v>3486</v>
      </c>
      <c r="K518" s="1"/>
    </row>
    <row r="519" spans="1:11" ht="18.75" customHeight="1">
      <c r="A519" s="75" t="s">
        <v>46</v>
      </c>
      <c r="B519" s="41">
        <v>35</v>
      </c>
      <c r="C519" s="41">
        <v>4</v>
      </c>
      <c r="D519" s="42" t="s">
        <v>14</v>
      </c>
      <c r="E519" s="43" t="s">
        <v>15</v>
      </c>
      <c r="F519" s="40">
        <v>3</v>
      </c>
      <c r="G519" s="23">
        <v>1</v>
      </c>
      <c r="H519" s="44">
        <v>2149</v>
      </c>
      <c r="I519" s="44">
        <v>2183</v>
      </c>
      <c r="J519" s="1">
        <v>2196</v>
      </c>
      <c r="K519" s="1"/>
    </row>
    <row r="520" spans="1:11" ht="18.75" customHeight="1">
      <c r="A520" s="75" t="s">
        <v>46</v>
      </c>
      <c r="B520" s="41">
        <v>32</v>
      </c>
      <c r="C520" s="41">
        <v>1</v>
      </c>
      <c r="D520" s="42" t="s">
        <v>14</v>
      </c>
      <c r="E520" s="43" t="s">
        <v>15</v>
      </c>
      <c r="F520" s="40">
        <v>5</v>
      </c>
      <c r="G520" s="23">
        <v>0</v>
      </c>
      <c r="H520" s="44">
        <v>2105</v>
      </c>
      <c r="I520" s="44">
        <v>2142</v>
      </c>
      <c r="J520" s="1">
        <v>2138</v>
      </c>
      <c r="K520" s="1"/>
    </row>
    <row r="521" spans="1:11" ht="18.75" customHeight="1">
      <c r="A521" s="75" t="s">
        <v>46</v>
      </c>
      <c r="B521" s="41">
        <v>30</v>
      </c>
      <c r="C521" s="41">
        <v>1</v>
      </c>
      <c r="D521" s="42" t="s">
        <v>14</v>
      </c>
      <c r="E521" s="43" t="s">
        <v>15</v>
      </c>
      <c r="F521" s="40">
        <v>3</v>
      </c>
      <c r="G521" s="23">
        <v>0</v>
      </c>
      <c r="H521" s="44">
        <v>1873</v>
      </c>
      <c r="I521" s="44">
        <v>1911</v>
      </c>
      <c r="J521" s="1">
        <v>1910</v>
      </c>
      <c r="K521" s="1"/>
    </row>
    <row r="522" spans="1:11" ht="18.75" customHeight="1">
      <c r="A522" s="75" t="s">
        <v>46</v>
      </c>
      <c r="B522" s="41">
        <v>30</v>
      </c>
      <c r="C522" s="41">
        <v>2</v>
      </c>
      <c r="D522" s="42" t="s">
        <v>14</v>
      </c>
      <c r="E522" s="43" t="s">
        <v>15</v>
      </c>
      <c r="F522" s="40">
        <v>3</v>
      </c>
      <c r="G522" s="23">
        <v>0</v>
      </c>
      <c r="H522" s="44">
        <v>2528</v>
      </c>
      <c r="I522" s="44">
        <v>2566</v>
      </c>
      <c r="J522" s="1">
        <v>2555</v>
      </c>
      <c r="K522" s="1"/>
    </row>
    <row r="523" spans="1:11" ht="18.75" customHeight="1">
      <c r="A523" s="75" t="s">
        <v>46</v>
      </c>
      <c r="B523" s="41">
        <v>25</v>
      </c>
      <c r="C523" s="41">
        <v>1</v>
      </c>
      <c r="D523" s="42" t="s">
        <v>14</v>
      </c>
      <c r="E523" s="43" t="s">
        <v>15</v>
      </c>
      <c r="F523" s="40">
        <v>2</v>
      </c>
      <c r="G523" s="23">
        <v>0</v>
      </c>
      <c r="H523" s="44">
        <v>3339</v>
      </c>
      <c r="I523" s="44">
        <v>3384</v>
      </c>
      <c r="J523" s="1">
        <v>3390</v>
      </c>
      <c r="K523" s="1"/>
    </row>
    <row r="524" spans="1:11" ht="18.75" customHeight="1">
      <c r="A524" s="75" t="s">
        <v>46</v>
      </c>
      <c r="B524" s="41">
        <v>20</v>
      </c>
      <c r="C524" s="41">
        <v>1</v>
      </c>
      <c r="D524" s="42" t="s">
        <v>14</v>
      </c>
      <c r="E524" s="43" t="s">
        <v>15</v>
      </c>
      <c r="F524" s="40">
        <v>1</v>
      </c>
      <c r="G524" s="23">
        <v>0</v>
      </c>
      <c r="H524" s="44">
        <v>3696</v>
      </c>
      <c r="I524" s="44">
        <v>3751</v>
      </c>
      <c r="J524" s="1">
        <v>3760</v>
      </c>
      <c r="K524" s="1"/>
    </row>
    <row r="525" spans="1:11" ht="18.75" customHeight="1">
      <c r="A525" s="75" t="s">
        <v>46</v>
      </c>
      <c r="B525" s="41">
        <v>20</v>
      </c>
      <c r="C525" s="41">
        <v>2</v>
      </c>
      <c r="D525" s="42" t="s">
        <v>14</v>
      </c>
      <c r="E525" s="43" t="s">
        <v>15</v>
      </c>
      <c r="F525" s="40">
        <v>1</v>
      </c>
      <c r="G525" s="23">
        <v>0</v>
      </c>
      <c r="H525" s="44">
        <v>2598</v>
      </c>
      <c r="I525" s="44">
        <v>2653</v>
      </c>
      <c r="J525" s="1">
        <v>2648</v>
      </c>
      <c r="K525" s="1"/>
    </row>
    <row r="526" spans="1:11" ht="18.75" customHeight="1">
      <c r="A526" s="75" t="s">
        <v>46</v>
      </c>
      <c r="B526" s="41">
        <v>15</v>
      </c>
      <c r="C526" s="41">
        <v>1</v>
      </c>
      <c r="D526" s="42" t="s">
        <v>12</v>
      </c>
      <c r="E526" s="43" t="s">
        <v>13</v>
      </c>
      <c r="F526" s="40">
        <v>1</v>
      </c>
      <c r="G526" s="23">
        <v>0</v>
      </c>
      <c r="H526" s="44">
        <v>3030</v>
      </c>
      <c r="I526" s="44">
        <v>3099</v>
      </c>
      <c r="J526" s="1"/>
      <c r="K526" s="1"/>
    </row>
    <row r="527" spans="1:11" ht="18.75" customHeight="1">
      <c r="A527" s="75" t="s">
        <v>46</v>
      </c>
      <c r="B527" s="41">
        <v>15</v>
      </c>
      <c r="C527" s="41">
        <v>2</v>
      </c>
      <c r="D527" s="42" t="s">
        <v>14</v>
      </c>
      <c r="E527" s="43" t="s">
        <v>15</v>
      </c>
      <c r="F527" s="40">
        <v>1</v>
      </c>
      <c r="G527" s="23">
        <v>0</v>
      </c>
      <c r="H527" s="44">
        <v>2100</v>
      </c>
      <c r="I527" s="44">
        <v>2172</v>
      </c>
      <c r="J527" s="1">
        <v>2183</v>
      </c>
      <c r="K527" s="1"/>
    </row>
    <row r="528" spans="1:11" ht="18.75" customHeight="1">
      <c r="A528" s="75" t="s">
        <v>46</v>
      </c>
      <c r="B528" s="41">
        <v>17</v>
      </c>
      <c r="C528" s="41">
        <v>1</v>
      </c>
      <c r="D528" s="42" t="s">
        <v>14</v>
      </c>
      <c r="E528" s="43" t="s">
        <v>15</v>
      </c>
      <c r="F528" s="40">
        <v>2</v>
      </c>
      <c r="G528" s="23">
        <v>0</v>
      </c>
      <c r="H528" s="44">
        <v>2731</v>
      </c>
      <c r="I528" s="44">
        <v>2793</v>
      </c>
      <c r="J528" s="1">
        <v>2790</v>
      </c>
      <c r="K528" s="1"/>
    </row>
    <row r="529" spans="1:11" ht="18.75" customHeight="1">
      <c r="A529" s="75" t="s">
        <v>46</v>
      </c>
      <c r="B529" s="41">
        <v>15</v>
      </c>
      <c r="C529" s="41">
        <v>3</v>
      </c>
      <c r="D529" s="42" t="s">
        <v>14</v>
      </c>
      <c r="E529" s="43" t="s">
        <v>15</v>
      </c>
      <c r="F529" s="40">
        <v>1</v>
      </c>
      <c r="G529" s="23">
        <v>0</v>
      </c>
      <c r="H529" s="44">
        <v>2637</v>
      </c>
      <c r="I529" s="44">
        <v>2703</v>
      </c>
      <c r="J529" s="1">
        <v>2696</v>
      </c>
      <c r="K529" s="1"/>
    </row>
    <row r="530" spans="1:11" ht="18.75" customHeight="1">
      <c r="A530" s="75" t="s">
        <v>47</v>
      </c>
      <c r="B530" s="41">
        <v>15</v>
      </c>
      <c r="C530" s="41">
        <v>1</v>
      </c>
      <c r="D530" s="42" t="s">
        <v>12</v>
      </c>
      <c r="E530" s="43" t="s">
        <v>13</v>
      </c>
      <c r="F530" s="40">
        <v>2</v>
      </c>
      <c r="G530" s="23">
        <v>0</v>
      </c>
      <c r="H530" s="44">
        <v>2419</v>
      </c>
      <c r="I530" s="44">
        <v>2490</v>
      </c>
      <c r="J530" s="1"/>
      <c r="K530" s="1"/>
    </row>
    <row r="531" spans="1:11" ht="18.75" customHeight="1">
      <c r="A531" s="75" t="s">
        <v>47</v>
      </c>
      <c r="B531" s="41">
        <v>25</v>
      </c>
      <c r="C531" s="41">
        <v>1</v>
      </c>
      <c r="D531" s="42" t="s">
        <v>12</v>
      </c>
      <c r="E531" s="43" t="s">
        <v>13</v>
      </c>
      <c r="F531" s="40">
        <v>3</v>
      </c>
      <c r="G531" s="23">
        <v>0</v>
      </c>
      <c r="H531" s="44">
        <v>2404</v>
      </c>
      <c r="I531" s="44">
        <v>2450</v>
      </c>
      <c r="J531" s="1"/>
      <c r="K531" s="1"/>
    </row>
    <row r="532" spans="1:11" ht="18.75" customHeight="1">
      <c r="A532" s="75" t="s">
        <v>47</v>
      </c>
      <c r="B532" s="41">
        <v>40</v>
      </c>
      <c r="C532" s="41">
        <v>1</v>
      </c>
      <c r="D532" s="42" t="s">
        <v>12</v>
      </c>
      <c r="E532" s="43" t="s">
        <v>13</v>
      </c>
      <c r="F532" s="40">
        <v>6</v>
      </c>
      <c r="G532" s="23">
        <v>0</v>
      </c>
      <c r="H532" s="44">
        <v>2306</v>
      </c>
      <c r="I532" s="44">
        <v>2337</v>
      </c>
      <c r="J532" s="1"/>
      <c r="K532" s="1"/>
    </row>
    <row r="533" spans="1:11" ht="18.75" customHeight="1">
      <c r="A533" s="75" t="s">
        <v>47</v>
      </c>
      <c r="B533" s="41">
        <v>55</v>
      </c>
      <c r="C533" s="41">
        <v>1</v>
      </c>
      <c r="D533" s="42" t="s">
        <v>12</v>
      </c>
      <c r="E533" s="43" t="s">
        <v>13</v>
      </c>
      <c r="F533" s="40">
        <v>6</v>
      </c>
      <c r="G533" s="23">
        <v>0</v>
      </c>
      <c r="H533" s="44">
        <v>1999</v>
      </c>
      <c r="I533" s="44">
        <v>2020</v>
      </c>
      <c r="J533" s="1"/>
      <c r="K533" s="1"/>
    </row>
    <row r="534" spans="1:11" ht="18.75" customHeight="1">
      <c r="A534" s="75" t="s">
        <v>47</v>
      </c>
      <c r="B534" s="41">
        <v>75</v>
      </c>
      <c r="C534" s="41">
        <v>1</v>
      </c>
      <c r="D534" s="42" t="s">
        <v>12</v>
      </c>
      <c r="E534" s="43" t="s">
        <v>13</v>
      </c>
      <c r="F534" s="40">
        <v>8</v>
      </c>
      <c r="G534" s="23">
        <v>0</v>
      </c>
      <c r="H534" s="44">
        <v>3371</v>
      </c>
      <c r="I534" s="44">
        <v>3390</v>
      </c>
      <c r="J534" s="1"/>
      <c r="K534" s="1"/>
    </row>
    <row r="535" spans="1:11" ht="18.75" customHeight="1">
      <c r="A535" s="75" t="s">
        <v>47</v>
      </c>
      <c r="B535" s="41">
        <v>100</v>
      </c>
      <c r="C535" s="41">
        <v>1</v>
      </c>
      <c r="D535" s="42" t="s">
        <v>12</v>
      </c>
      <c r="E535" s="43" t="s">
        <v>13</v>
      </c>
      <c r="F535" s="40">
        <v>9</v>
      </c>
      <c r="G535" s="23">
        <v>0</v>
      </c>
      <c r="H535" s="44">
        <v>3881</v>
      </c>
      <c r="I535" s="44">
        <v>3897</v>
      </c>
      <c r="J535" s="1"/>
      <c r="K535" s="1"/>
    </row>
    <row r="536" spans="1:11" ht="18.75" customHeight="1">
      <c r="A536" s="75" t="s">
        <v>47</v>
      </c>
      <c r="B536" s="41">
        <v>120</v>
      </c>
      <c r="C536" s="41">
        <v>1</v>
      </c>
      <c r="D536" s="42" t="s">
        <v>16</v>
      </c>
      <c r="E536" s="43" t="s">
        <v>15</v>
      </c>
      <c r="F536" s="40">
        <v>10</v>
      </c>
      <c r="G536" s="23">
        <v>0</v>
      </c>
      <c r="H536" s="44">
        <v>3551</v>
      </c>
      <c r="I536" s="44">
        <v>3564</v>
      </c>
      <c r="J536" s="1">
        <v>3616</v>
      </c>
      <c r="K536" s="1"/>
    </row>
    <row r="537" spans="1:11" ht="18.75" customHeight="1">
      <c r="A537" s="75" t="s">
        <v>47</v>
      </c>
      <c r="B537" s="41">
        <v>120</v>
      </c>
      <c r="C537" s="41">
        <v>2</v>
      </c>
      <c r="D537" s="42" t="s">
        <v>12</v>
      </c>
      <c r="E537" s="43" t="s">
        <v>13</v>
      </c>
      <c r="F537" s="40">
        <v>4</v>
      </c>
      <c r="G537" s="23">
        <v>0</v>
      </c>
      <c r="H537" s="44">
        <v>5306</v>
      </c>
      <c r="I537" s="44">
        <v>5320</v>
      </c>
      <c r="J537" s="1"/>
      <c r="K537" s="1"/>
    </row>
    <row r="538" spans="1:11" ht="18.75" customHeight="1">
      <c r="A538" s="75" t="s">
        <v>47</v>
      </c>
      <c r="B538" s="41">
        <v>140</v>
      </c>
      <c r="C538" s="41">
        <v>1</v>
      </c>
      <c r="D538" s="42" t="s">
        <v>12</v>
      </c>
      <c r="E538" s="43" t="s">
        <v>13</v>
      </c>
      <c r="F538" s="40">
        <v>4</v>
      </c>
      <c r="G538" s="23">
        <v>0</v>
      </c>
      <c r="H538" s="44">
        <v>2201</v>
      </c>
      <c r="I538" s="44">
        <v>2213</v>
      </c>
      <c r="J538" s="1"/>
      <c r="K538" s="1"/>
    </row>
    <row r="539" spans="1:11" ht="18.75" customHeight="1">
      <c r="A539" s="75" t="s">
        <v>47</v>
      </c>
      <c r="B539" s="41">
        <v>170</v>
      </c>
      <c r="C539" s="41">
        <v>1</v>
      </c>
      <c r="D539" s="42" t="s">
        <v>13</v>
      </c>
      <c r="E539" s="43" t="s">
        <v>13</v>
      </c>
      <c r="F539" s="40">
        <v>4</v>
      </c>
      <c r="G539" s="23">
        <v>0</v>
      </c>
      <c r="H539" s="44">
        <v>3193</v>
      </c>
      <c r="I539" s="44">
        <v>3205</v>
      </c>
      <c r="J539" s="1"/>
      <c r="K539" s="1"/>
    </row>
    <row r="540" spans="1:11" ht="18.75" customHeight="1">
      <c r="A540" s="75" t="s">
        <v>47</v>
      </c>
      <c r="B540" s="41">
        <v>190</v>
      </c>
      <c r="C540" s="41">
        <v>1</v>
      </c>
      <c r="D540" s="42" t="s">
        <v>16</v>
      </c>
      <c r="E540" s="43" t="s">
        <v>15</v>
      </c>
      <c r="F540" s="40">
        <v>7</v>
      </c>
      <c r="G540" s="23">
        <v>0</v>
      </c>
      <c r="H540" s="44">
        <v>3797</v>
      </c>
      <c r="I540" s="44">
        <v>3810</v>
      </c>
      <c r="J540" s="1">
        <v>3876</v>
      </c>
      <c r="K540" s="1"/>
    </row>
    <row r="541" spans="1:11" ht="18.75" customHeight="1">
      <c r="A541" s="75" t="s">
        <v>47</v>
      </c>
      <c r="B541" s="41">
        <v>190</v>
      </c>
      <c r="C541" s="41">
        <v>2</v>
      </c>
      <c r="D541" s="42" t="s">
        <v>12</v>
      </c>
      <c r="E541" s="43" t="s">
        <v>13</v>
      </c>
      <c r="F541" s="40">
        <v>7</v>
      </c>
      <c r="G541" s="23">
        <v>0</v>
      </c>
      <c r="H541" s="44">
        <v>3465</v>
      </c>
      <c r="I541" s="44">
        <v>3479</v>
      </c>
      <c r="J541" s="1"/>
      <c r="K541" s="1"/>
    </row>
    <row r="542" spans="1:11" ht="18.75" customHeight="1">
      <c r="A542" s="75" t="s">
        <v>47</v>
      </c>
      <c r="B542" s="41">
        <v>200</v>
      </c>
      <c r="C542" s="41">
        <v>1</v>
      </c>
      <c r="D542" s="42" t="s">
        <v>12</v>
      </c>
      <c r="E542" s="43" t="s">
        <v>13</v>
      </c>
      <c r="F542" s="40">
        <v>7</v>
      </c>
      <c r="G542" s="23">
        <v>0</v>
      </c>
      <c r="H542" s="44">
        <v>4353</v>
      </c>
      <c r="I542" s="44">
        <v>4366</v>
      </c>
      <c r="J542" s="1"/>
      <c r="K542" s="1"/>
    </row>
    <row r="543" spans="1:11" ht="18.75" customHeight="1">
      <c r="A543" s="75" t="s">
        <v>47</v>
      </c>
      <c r="B543" s="41">
        <v>200</v>
      </c>
      <c r="C543" s="41">
        <v>2</v>
      </c>
      <c r="D543" s="42" t="s">
        <v>13</v>
      </c>
      <c r="E543" s="43" t="s">
        <v>13</v>
      </c>
      <c r="F543" s="40">
        <v>8</v>
      </c>
      <c r="G543" s="23">
        <v>0</v>
      </c>
      <c r="H543" s="44">
        <v>2761</v>
      </c>
      <c r="I543" s="44">
        <v>2775</v>
      </c>
      <c r="J543" s="1"/>
      <c r="K543" s="1"/>
    </row>
    <row r="544" spans="1:11" ht="18.75" customHeight="1">
      <c r="A544" s="75" t="s">
        <v>47</v>
      </c>
      <c r="B544" s="41">
        <v>200</v>
      </c>
      <c r="C544" s="41">
        <v>3</v>
      </c>
      <c r="D544" s="42" t="s">
        <v>12</v>
      </c>
      <c r="E544" s="43" t="s">
        <v>13</v>
      </c>
      <c r="F544" s="40">
        <v>6</v>
      </c>
      <c r="G544" s="23">
        <v>0</v>
      </c>
      <c r="H544" s="44">
        <v>2952</v>
      </c>
      <c r="I544" s="44">
        <v>2965</v>
      </c>
      <c r="J544" s="1"/>
      <c r="K544" s="1"/>
    </row>
    <row r="545" spans="1:11" ht="18.75" customHeight="1">
      <c r="A545" s="75" t="s">
        <v>48</v>
      </c>
      <c r="B545" s="41">
        <v>10</v>
      </c>
      <c r="C545" s="41">
        <v>1</v>
      </c>
      <c r="D545" s="42" t="s">
        <v>13</v>
      </c>
      <c r="E545" s="43" t="s">
        <v>13</v>
      </c>
      <c r="F545" s="40">
        <v>1</v>
      </c>
      <c r="G545" s="23">
        <v>0</v>
      </c>
      <c r="H545" s="44">
        <v>1441</v>
      </c>
      <c r="I545" s="44">
        <v>1547</v>
      </c>
      <c r="J545" s="1"/>
      <c r="K545" s="1"/>
    </row>
    <row r="546" spans="1:11" ht="18.75" customHeight="1">
      <c r="A546" s="75" t="s">
        <v>48</v>
      </c>
      <c r="B546" s="41">
        <v>60</v>
      </c>
      <c r="C546" s="41">
        <v>1</v>
      </c>
      <c r="D546" s="42" t="s">
        <v>14</v>
      </c>
      <c r="E546" s="43" t="s">
        <v>15</v>
      </c>
      <c r="F546" s="40">
        <v>5</v>
      </c>
      <c r="G546" s="23">
        <v>0</v>
      </c>
      <c r="H546" s="44">
        <v>2049</v>
      </c>
      <c r="I546" s="44">
        <v>2070</v>
      </c>
      <c r="J546" s="1">
        <v>2077</v>
      </c>
      <c r="K546" s="1"/>
    </row>
    <row r="547" spans="1:11" ht="18.75" customHeight="1">
      <c r="A547" s="75" t="s">
        <v>48</v>
      </c>
      <c r="B547" s="41">
        <v>60</v>
      </c>
      <c r="C547" s="41">
        <v>2</v>
      </c>
      <c r="D547" s="42" t="s">
        <v>16</v>
      </c>
      <c r="E547" s="43" t="s">
        <v>15</v>
      </c>
      <c r="F547" s="40">
        <v>5</v>
      </c>
      <c r="G547" s="23">
        <v>0</v>
      </c>
      <c r="H547" s="44">
        <v>2242</v>
      </c>
      <c r="I547" s="44">
        <v>2265</v>
      </c>
      <c r="J547" s="1">
        <v>2344</v>
      </c>
      <c r="K547" s="1"/>
    </row>
    <row r="548" spans="1:11" ht="18.75" customHeight="1">
      <c r="A548" s="75" t="s">
        <v>48</v>
      </c>
      <c r="B548" s="41">
        <v>60</v>
      </c>
      <c r="C548" s="41">
        <v>3</v>
      </c>
      <c r="D548" s="42" t="s">
        <v>16</v>
      </c>
      <c r="E548" s="43" t="s">
        <v>15</v>
      </c>
      <c r="F548" s="40">
        <v>7</v>
      </c>
      <c r="G548" s="23">
        <v>0</v>
      </c>
      <c r="H548" s="44">
        <v>2407</v>
      </c>
      <c r="I548" s="44">
        <v>2430</v>
      </c>
      <c r="J548" s="1">
        <v>2463</v>
      </c>
      <c r="K548" s="1"/>
    </row>
    <row r="549" spans="1:11" ht="18.75" customHeight="1">
      <c r="A549" s="75" t="s">
        <v>48</v>
      </c>
      <c r="B549" s="41">
        <v>50</v>
      </c>
      <c r="C549" s="41">
        <v>1</v>
      </c>
      <c r="D549" s="42" t="s">
        <v>16</v>
      </c>
      <c r="E549" s="43" t="s">
        <v>15</v>
      </c>
      <c r="F549" s="40">
        <v>7</v>
      </c>
      <c r="G549" s="23">
        <v>0</v>
      </c>
      <c r="H549" s="44">
        <v>2996</v>
      </c>
      <c r="I549" s="44">
        <v>3021</v>
      </c>
      <c r="J549" s="1">
        <v>3073</v>
      </c>
      <c r="K549" s="1"/>
    </row>
    <row r="550" spans="1:11" ht="18.75" customHeight="1">
      <c r="A550" s="75" t="s">
        <v>48</v>
      </c>
      <c r="B550" s="41">
        <v>40</v>
      </c>
      <c r="C550" s="41">
        <v>1</v>
      </c>
      <c r="D550" s="42" t="s">
        <v>12</v>
      </c>
      <c r="E550" s="43" t="s">
        <v>13</v>
      </c>
      <c r="F550" s="40">
        <v>6</v>
      </c>
      <c r="G550" s="23">
        <v>0</v>
      </c>
      <c r="H550" s="44">
        <v>2016</v>
      </c>
      <c r="I550" s="44">
        <v>2045</v>
      </c>
      <c r="J550" s="1"/>
      <c r="K550" s="1"/>
    </row>
    <row r="551" spans="1:11" ht="18.75" customHeight="1">
      <c r="A551" s="75" t="s">
        <v>48</v>
      </c>
      <c r="B551" s="41">
        <v>45</v>
      </c>
      <c r="C551" s="41">
        <v>1</v>
      </c>
      <c r="D551" s="42" t="s">
        <v>16</v>
      </c>
      <c r="E551" s="43" t="s">
        <v>15</v>
      </c>
      <c r="F551" s="40">
        <v>8</v>
      </c>
      <c r="G551" s="23">
        <v>0</v>
      </c>
      <c r="H551" s="44">
        <v>1871</v>
      </c>
      <c r="I551" s="44">
        <v>1899</v>
      </c>
      <c r="J551" s="1">
        <v>1927</v>
      </c>
      <c r="K551" s="1"/>
    </row>
    <row r="552" spans="1:11" ht="18.75" customHeight="1">
      <c r="A552" s="75" t="s">
        <v>48</v>
      </c>
      <c r="B552" s="41">
        <v>45</v>
      </c>
      <c r="C552" s="41">
        <v>2</v>
      </c>
      <c r="D552" s="42" t="s">
        <v>12</v>
      </c>
      <c r="E552" s="43" t="s">
        <v>13</v>
      </c>
      <c r="F552" s="40">
        <v>7</v>
      </c>
      <c r="G552" s="23">
        <v>0</v>
      </c>
      <c r="H552" s="44">
        <v>2422</v>
      </c>
      <c r="I552" s="44">
        <v>2450</v>
      </c>
      <c r="J552" s="1"/>
      <c r="K552" s="1"/>
    </row>
    <row r="553" spans="1:11" ht="18.75" customHeight="1">
      <c r="A553" s="75" t="s">
        <v>48</v>
      </c>
      <c r="B553" s="41">
        <v>50</v>
      </c>
      <c r="C553" s="41">
        <v>2</v>
      </c>
      <c r="D553" s="42" t="s">
        <v>12</v>
      </c>
      <c r="E553" s="43" t="s">
        <v>13</v>
      </c>
      <c r="F553" s="40">
        <v>8</v>
      </c>
      <c r="G553" s="23">
        <v>0</v>
      </c>
      <c r="H553" s="44">
        <v>2571</v>
      </c>
      <c r="I553" s="44">
        <v>2597</v>
      </c>
      <c r="J553" s="1"/>
      <c r="K553" s="1"/>
    </row>
    <row r="554" spans="1:11" ht="18.75" customHeight="1">
      <c r="A554" s="75" t="s">
        <v>48</v>
      </c>
      <c r="B554" s="41">
        <v>60</v>
      </c>
      <c r="C554" s="41">
        <v>4</v>
      </c>
      <c r="D554" s="42" t="s">
        <v>12</v>
      </c>
      <c r="E554" s="43" t="s">
        <v>13</v>
      </c>
      <c r="F554" s="40">
        <v>7</v>
      </c>
      <c r="G554" s="23">
        <v>0</v>
      </c>
      <c r="H554" s="44">
        <v>2867</v>
      </c>
      <c r="I554" s="44">
        <v>2889</v>
      </c>
      <c r="J554" s="1"/>
      <c r="K554" s="1"/>
    </row>
    <row r="555" spans="1:11" ht="18.75" customHeight="1">
      <c r="A555" s="75" t="s">
        <v>48</v>
      </c>
      <c r="B555" s="41">
        <v>70</v>
      </c>
      <c r="C555" s="41">
        <v>1</v>
      </c>
      <c r="D555" s="42" t="s">
        <v>16</v>
      </c>
      <c r="E555" s="43" t="s">
        <v>15</v>
      </c>
      <c r="F555" s="40">
        <v>9</v>
      </c>
      <c r="G555" s="23">
        <v>0</v>
      </c>
      <c r="H555" s="44">
        <v>3458</v>
      </c>
      <c r="I555" s="44">
        <v>3477</v>
      </c>
      <c r="J555" s="1">
        <v>3567</v>
      </c>
      <c r="K555" s="1"/>
    </row>
    <row r="556" spans="1:11" ht="18.75" customHeight="1">
      <c r="A556" s="75" t="s">
        <v>48</v>
      </c>
      <c r="B556" s="41">
        <v>70</v>
      </c>
      <c r="C556" s="41">
        <v>2</v>
      </c>
      <c r="D556" s="42" t="s">
        <v>16</v>
      </c>
      <c r="E556" s="43" t="s">
        <v>15</v>
      </c>
      <c r="F556" s="40">
        <v>9</v>
      </c>
      <c r="G556" s="23">
        <v>0</v>
      </c>
      <c r="H556" s="44">
        <v>2325</v>
      </c>
      <c r="I556" s="44">
        <v>2345</v>
      </c>
      <c r="J556" s="1">
        <v>2438</v>
      </c>
      <c r="K556" s="1"/>
    </row>
    <row r="557" spans="1:11" ht="18.75" customHeight="1">
      <c r="A557" s="75" t="s">
        <v>48</v>
      </c>
      <c r="B557" s="41">
        <v>65</v>
      </c>
      <c r="C557" s="41">
        <v>1</v>
      </c>
      <c r="D557" s="42" t="s">
        <v>16</v>
      </c>
      <c r="E557" s="43" t="s">
        <v>15</v>
      </c>
      <c r="F557" s="40">
        <v>10</v>
      </c>
      <c r="G557" s="23">
        <v>0</v>
      </c>
      <c r="H557" s="44">
        <v>3519</v>
      </c>
      <c r="I557" s="44">
        <v>3540</v>
      </c>
      <c r="J557" s="1">
        <v>3576</v>
      </c>
      <c r="K557" s="1"/>
    </row>
    <row r="558" spans="1:11" ht="18.75" customHeight="1">
      <c r="A558" s="75" t="s">
        <v>48</v>
      </c>
      <c r="B558" s="41">
        <v>65</v>
      </c>
      <c r="C558" s="41">
        <v>2</v>
      </c>
      <c r="D558" s="42" t="s">
        <v>16</v>
      </c>
      <c r="E558" s="43" t="s">
        <v>15</v>
      </c>
      <c r="F558" s="40">
        <v>9</v>
      </c>
      <c r="G558" s="23">
        <v>0</v>
      </c>
      <c r="H558" s="44">
        <v>2655</v>
      </c>
      <c r="I558" s="44">
        <v>2676</v>
      </c>
      <c r="J558" s="1">
        <v>2746</v>
      </c>
      <c r="K558" s="1"/>
    </row>
    <row r="559" spans="1:11" ht="18.75" customHeight="1">
      <c r="A559" s="75" t="s">
        <v>48</v>
      </c>
      <c r="B559" s="41">
        <v>65</v>
      </c>
      <c r="C559" s="41">
        <v>3</v>
      </c>
      <c r="D559" s="42" t="s">
        <v>16</v>
      </c>
      <c r="E559" s="43" t="s">
        <v>15</v>
      </c>
      <c r="F559" s="40">
        <v>10</v>
      </c>
      <c r="G559" s="23">
        <v>0</v>
      </c>
      <c r="H559" s="44">
        <v>3405</v>
      </c>
      <c r="I559" s="44">
        <v>3427</v>
      </c>
      <c r="J559" s="1">
        <v>3500</v>
      </c>
      <c r="K559" s="1"/>
    </row>
    <row r="560" spans="1:11" ht="18.75" customHeight="1">
      <c r="A560" s="75" t="s">
        <v>48</v>
      </c>
      <c r="B560" s="41">
        <v>60</v>
      </c>
      <c r="C560" s="41">
        <v>5</v>
      </c>
      <c r="D560" s="42" t="s">
        <v>16</v>
      </c>
      <c r="E560" s="43" t="s">
        <v>15</v>
      </c>
      <c r="F560" s="40">
        <v>10</v>
      </c>
      <c r="G560" s="23">
        <v>0</v>
      </c>
      <c r="H560" s="44">
        <v>2396</v>
      </c>
      <c r="I560" s="44">
        <v>2419</v>
      </c>
      <c r="J560" s="1">
        <v>2476</v>
      </c>
      <c r="K560" s="1"/>
    </row>
    <row r="561" spans="1:11" ht="18.75" customHeight="1">
      <c r="A561" s="75" t="s">
        <v>48</v>
      </c>
      <c r="B561" s="41">
        <v>55</v>
      </c>
      <c r="C561" s="41">
        <v>1</v>
      </c>
      <c r="D561" s="42" t="s">
        <v>14</v>
      </c>
      <c r="E561" s="43" t="s">
        <v>15</v>
      </c>
      <c r="F561" s="40">
        <v>8</v>
      </c>
      <c r="G561" s="23">
        <v>0</v>
      </c>
      <c r="H561" s="44">
        <v>2591</v>
      </c>
      <c r="I561" s="44">
        <v>2614</v>
      </c>
      <c r="J561" s="1">
        <v>2632</v>
      </c>
      <c r="K561" s="1"/>
    </row>
    <row r="562" spans="1:11" ht="18.75" customHeight="1">
      <c r="A562" s="75" t="s">
        <v>48</v>
      </c>
      <c r="B562" s="41">
        <v>50</v>
      </c>
      <c r="C562" s="41">
        <v>3</v>
      </c>
      <c r="D562" s="42" t="s">
        <v>14</v>
      </c>
      <c r="E562" s="43" t="s">
        <v>15</v>
      </c>
      <c r="F562" s="40">
        <v>9</v>
      </c>
      <c r="G562" s="23">
        <v>0</v>
      </c>
      <c r="H562" s="44">
        <v>2434</v>
      </c>
      <c r="I562" s="44">
        <v>2460</v>
      </c>
      <c r="J562" s="1">
        <v>2475</v>
      </c>
      <c r="K562" s="1"/>
    </row>
    <row r="563" spans="1:11" ht="18.75" customHeight="1">
      <c r="A563" s="75" t="s">
        <v>48</v>
      </c>
      <c r="B563" s="41">
        <v>40</v>
      </c>
      <c r="C563" s="41">
        <v>2</v>
      </c>
      <c r="D563" s="42" t="s">
        <v>14</v>
      </c>
      <c r="E563" s="43" t="s">
        <v>15</v>
      </c>
      <c r="F563" s="40">
        <v>7</v>
      </c>
      <c r="G563" s="23">
        <v>0</v>
      </c>
      <c r="H563" s="44">
        <v>2926</v>
      </c>
      <c r="I563" s="44">
        <v>2956</v>
      </c>
      <c r="J563" s="1">
        <v>2983</v>
      </c>
      <c r="K563" s="1"/>
    </row>
    <row r="564" spans="1:11" ht="18.75" customHeight="1">
      <c r="A564" s="75" t="s">
        <v>48</v>
      </c>
      <c r="B564" s="41">
        <v>30</v>
      </c>
      <c r="C564" s="41">
        <v>1</v>
      </c>
      <c r="D564" s="42" t="s">
        <v>12</v>
      </c>
      <c r="E564" s="43" t="s">
        <v>13</v>
      </c>
      <c r="F564" s="40">
        <v>6</v>
      </c>
      <c r="G564" s="23">
        <v>0</v>
      </c>
      <c r="H564" s="44">
        <v>2603</v>
      </c>
      <c r="I564" s="44">
        <v>2642</v>
      </c>
      <c r="J564" s="1"/>
      <c r="K564" s="1"/>
    </row>
    <row r="565" spans="1:11" ht="18.75" customHeight="1">
      <c r="A565" s="75" t="s">
        <v>48</v>
      </c>
      <c r="B565" s="41">
        <v>40</v>
      </c>
      <c r="C565" s="41">
        <v>3</v>
      </c>
      <c r="D565" s="42" t="s">
        <v>16</v>
      </c>
      <c r="E565" s="43" t="s">
        <v>15</v>
      </c>
      <c r="F565" s="40">
        <v>9</v>
      </c>
      <c r="G565" s="23">
        <v>0</v>
      </c>
      <c r="H565" s="44">
        <v>1513</v>
      </c>
      <c r="I565" s="44">
        <v>1543</v>
      </c>
      <c r="J565" s="1">
        <v>1585</v>
      </c>
      <c r="K565" s="1"/>
    </row>
    <row r="566" spans="1:11" ht="18.75" customHeight="1">
      <c r="A566" s="75" t="s">
        <v>49</v>
      </c>
      <c r="B566" s="41">
        <v>10</v>
      </c>
      <c r="C566" s="41">
        <v>1</v>
      </c>
      <c r="D566" s="42" t="s">
        <v>13</v>
      </c>
      <c r="E566" s="43" t="s">
        <v>13</v>
      </c>
      <c r="F566" s="40">
        <v>4</v>
      </c>
      <c r="G566" s="23">
        <v>0</v>
      </c>
      <c r="H566" s="44">
        <v>1914</v>
      </c>
      <c r="I566" s="44">
        <v>2019</v>
      </c>
      <c r="J566" s="1"/>
      <c r="K566" s="1"/>
    </row>
    <row r="567" spans="1:11" ht="18.75" customHeight="1">
      <c r="A567" s="75" t="s">
        <v>49</v>
      </c>
      <c r="B567" s="41">
        <v>100</v>
      </c>
      <c r="C567" s="41">
        <v>1</v>
      </c>
      <c r="D567" s="42" t="s">
        <v>12</v>
      </c>
      <c r="E567" s="43" t="s">
        <v>13</v>
      </c>
      <c r="F567" s="40">
        <v>6</v>
      </c>
      <c r="G567" s="23">
        <v>0</v>
      </c>
      <c r="H567" s="44">
        <v>2321</v>
      </c>
      <c r="I567" s="44">
        <v>2337</v>
      </c>
      <c r="J567" s="1"/>
      <c r="K567" s="1"/>
    </row>
    <row r="568" spans="1:11" ht="18.75" customHeight="1">
      <c r="A568" s="75" t="s">
        <v>49</v>
      </c>
      <c r="B568" s="41">
        <v>110</v>
      </c>
      <c r="C568" s="41">
        <v>1</v>
      </c>
      <c r="D568" s="42" t="s">
        <v>12</v>
      </c>
      <c r="E568" s="43" t="s">
        <v>13</v>
      </c>
      <c r="F568" s="40">
        <v>7</v>
      </c>
      <c r="G568" s="23">
        <v>0</v>
      </c>
      <c r="H568" s="44">
        <v>3143</v>
      </c>
      <c r="I568" s="44">
        <v>3158</v>
      </c>
      <c r="J568" s="1"/>
      <c r="K568" s="1"/>
    </row>
    <row r="569" spans="1:11" ht="18.75" customHeight="1">
      <c r="A569" s="75" t="s">
        <v>49</v>
      </c>
      <c r="B569" s="41">
        <v>125</v>
      </c>
      <c r="C569" s="41">
        <v>1</v>
      </c>
      <c r="D569" s="42" t="s">
        <v>12</v>
      </c>
      <c r="E569" s="43" t="s">
        <v>13</v>
      </c>
      <c r="F569" s="40">
        <v>6</v>
      </c>
      <c r="G569" s="23">
        <v>0</v>
      </c>
      <c r="H569" s="44">
        <v>2150</v>
      </c>
      <c r="I569" s="44">
        <v>2164</v>
      </c>
      <c r="J569" s="1"/>
      <c r="K569" s="1"/>
    </row>
    <row r="570" spans="1:11" ht="18.75" customHeight="1">
      <c r="A570" s="75" t="s">
        <v>49</v>
      </c>
      <c r="B570" s="41">
        <v>140</v>
      </c>
      <c r="C570" s="41">
        <v>1</v>
      </c>
      <c r="D570" s="42" t="s">
        <v>12</v>
      </c>
      <c r="E570" s="43" t="s">
        <v>13</v>
      </c>
      <c r="F570" s="40">
        <v>7</v>
      </c>
      <c r="G570" s="23">
        <v>0</v>
      </c>
      <c r="H570" s="44">
        <v>2194</v>
      </c>
      <c r="I570" s="44">
        <v>2207</v>
      </c>
      <c r="J570" s="1"/>
      <c r="K570" s="1"/>
    </row>
    <row r="571" spans="1:11" ht="18.75" customHeight="1">
      <c r="A571" s="75" t="s">
        <v>49</v>
      </c>
      <c r="B571" s="41">
        <v>160</v>
      </c>
      <c r="C571" s="41">
        <v>1</v>
      </c>
      <c r="D571" s="42" t="s">
        <v>12</v>
      </c>
      <c r="E571" s="43" t="s">
        <v>13</v>
      </c>
      <c r="F571" s="40">
        <v>7</v>
      </c>
      <c r="G571" s="23">
        <v>0</v>
      </c>
      <c r="H571" s="44">
        <v>1915</v>
      </c>
      <c r="I571" s="44">
        <v>1928</v>
      </c>
      <c r="J571" s="1"/>
      <c r="K571" s="1"/>
    </row>
    <row r="572" spans="1:11" ht="18.75" customHeight="1">
      <c r="A572" s="75" t="s">
        <v>49</v>
      </c>
      <c r="B572" s="41">
        <v>180</v>
      </c>
      <c r="C572" s="41">
        <v>1</v>
      </c>
      <c r="D572" s="42" t="s">
        <v>12</v>
      </c>
      <c r="E572" s="43" t="s">
        <v>13</v>
      </c>
      <c r="F572" s="40">
        <v>8</v>
      </c>
      <c r="G572" s="23">
        <v>0</v>
      </c>
      <c r="H572" s="44">
        <v>6655</v>
      </c>
      <c r="I572" s="44">
        <v>6669</v>
      </c>
      <c r="J572" s="1"/>
      <c r="K572" s="1"/>
    </row>
    <row r="573" spans="1:11" ht="18.75" customHeight="1">
      <c r="A573" s="75" t="s">
        <v>49</v>
      </c>
      <c r="B573" s="41">
        <v>200</v>
      </c>
      <c r="C573" s="41">
        <v>1</v>
      </c>
      <c r="D573" s="42" t="s">
        <v>16</v>
      </c>
      <c r="E573" s="43" t="s">
        <v>15</v>
      </c>
      <c r="F573" s="40">
        <v>9</v>
      </c>
      <c r="G573" s="23">
        <v>0</v>
      </c>
      <c r="H573" s="44">
        <v>1019</v>
      </c>
      <c r="I573" s="44">
        <v>1033</v>
      </c>
      <c r="J573" s="1">
        <v>1145</v>
      </c>
      <c r="K573" s="1"/>
    </row>
    <row r="574" spans="1:11" ht="18.75" customHeight="1">
      <c r="A574" s="75" t="s">
        <v>49</v>
      </c>
      <c r="B574" s="41">
        <v>200</v>
      </c>
      <c r="C574" s="41">
        <v>2</v>
      </c>
      <c r="D574" s="42" t="s">
        <v>12</v>
      </c>
      <c r="E574" s="43" t="s">
        <v>13</v>
      </c>
      <c r="F574" s="40">
        <v>8</v>
      </c>
      <c r="G574" s="23">
        <v>0</v>
      </c>
      <c r="H574" s="44">
        <v>3987</v>
      </c>
      <c r="I574" s="44">
        <v>4000</v>
      </c>
      <c r="J574" s="1"/>
      <c r="K574" s="1"/>
    </row>
    <row r="575" spans="1:11" ht="18.75" customHeight="1">
      <c r="A575" s="75" t="s">
        <v>49</v>
      </c>
      <c r="B575" s="41">
        <v>200</v>
      </c>
      <c r="C575" s="41">
        <v>3</v>
      </c>
      <c r="D575" s="42" t="s">
        <v>12</v>
      </c>
      <c r="E575" s="43" t="s">
        <v>13</v>
      </c>
      <c r="F575" s="40">
        <v>9</v>
      </c>
      <c r="G575" s="23">
        <v>0</v>
      </c>
      <c r="H575" s="44">
        <v>1325</v>
      </c>
      <c r="I575" s="44">
        <v>1339</v>
      </c>
      <c r="J575" s="1"/>
      <c r="K575" s="1"/>
    </row>
    <row r="576" spans="1:11" ht="18.75" customHeight="1">
      <c r="A576" s="75" t="s">
        <v>49</v>
      </c>
      <c r="B576" s="41">
        <v>200</v>
      </c>
      <c r="C576" s="41">
        <v>4</v>
      </c>
      <c r="D576" s="42" t="s">
        <v>12</v>
      </c>
      <c r="E576" s="43" t="s">
        <v>13</v>
      </c>
      <c r="F576" s="40">
        <v>9</v>
      </c>
      <c r="G576" s="23">
        <v>0</v>
      </c>
      <c r="H576" s="44">
        <v>2285</v>
      </c>
      <c r="I576" s="44">
        <v>2299</v>
      </c>
      <c r="J576" s="1"/>
      <c r="K576" s="1"/>
    </row>
    <row r="577" spans="1:11" ht="18.75" customHeight="1">
      <c r="A577" s="75" t="s">
        <v>49</v>
      </c>
      <c r="B577" s="41">
        <v>80</v>
      </c>
      <c r="C577" s="41">
        <v>1</v>
      </c>
      <c r="D577" s="42" t="s">
        <v>12</v>
      </c>
      <c r="E577" s="43" t="s">
        <v>13</v>
      </c>
      <c r="F577" s="40">
        <v>6</v>
      </c>
      <c r="G577" s="23">
        <v>0</v>
      </c>
      <c r="H577" s="44">
        <v>1073</v>
      </c>
      <c r="I577" s="44">
        <v>1092</v>
      </c>
      <c r="J577" s="1"/>
      <c r="K577" s="1"/>
    </row>
    <row r="578" spans="1:11" ht="18.75" customHeight="1">
      <c r="A578" s="75" t="s">
        <v>49</v>
      </c>
      <c r="B578" s="41">
        <v>60</v>
      </c>
      <c r="C578" s="41">
        <v>1</v>
      </c>
      <c r="D578" s="42" t="s">
        <v>12</v>
      </c>
      <c r="E578" s="43" t="s">
        <v>13</v>
      </c>
      <c r="F578" s="40">
        <v>6</v>
      </c>
      <c r="G578" s="23">
        <v>0</v>
      </c>
      <c r="H578" s="44">
        <v>3069</v>
      </c>
      <c r="I578" s="44">
        <v>3091</v>
      </c>
      <c r="J578" s="1"/>
      <c r="K578" s="1"/>
    </row>
    <row r="579" spans="1:11" ht="18.75" customHeight="1">
      <c r="A579" s="75" t="s">
        <v>49</v>
      </c>
      <c r="B579" s="41">
        <v>30</v>
      </c>
      <c r="C579" s="41">
        <v>1</v>
      </c>
      <c r="D579" s="42" t="s">
        <v>12</v>
      </c>
      <c r="E579" s="43" t="s">
        <v>13</v>
      </c>
      <c r="F579" s="40">
        <v>4</v>
      </c>
      <c r="G579" s="23">
        <v>0</v>
      </c>
      <c r="H579" s="44">
        <v>1785</v>
      </c>
      <c r="I579" s="44">
        <v>1823</v>
      </c>
      <c r="J579" s="1"/>
      <c r="K579" s="1"/>
    </row>
    <row r="580" spans="1:11" ht="18.75" customHeight="1">
      <c r="A580" s="75" t="s">
        <v>49</v>
      </c>
      <c r="B580" s="41">
        <v>150</v>
      </c>
      <c r="C580" s="41">
        <v>1</v>
      </c>
      <c r="D580" s="42" t="s">
        <v>12</v>
      </c>
      <c r="E580" s="43" t="s">
        <v>13</v>
      </c>
      <c r="F580" s="40">
        <v>7</v>
      </c>
      <c r="G580" s="23">
        <v>0</v>
      </c>
      <c r="H580" s="44">
        <v>1548</v>
      </c>
      <c r="I580" s="44">
        <v>1561</v>
      </c>
      <c r="J580" s="1"/>
      <c r="K580" s="1"/>
    </row>
    <row r="581" spans="1:11" ht="18.75" customHeight="1">
      <c r="A581" s="75" t="s">
        <v>49</v>
      </c>
      <c r="B581" s="41">
        <v>50</v>
      </c>
      <c r="C581" s="41">
        <v>1</v>
      </c>
      <c r="D581" s="42" t="s">
        <v>13</v>
      </c>
      <c r="E581" s="43" t="s">
        <v>13</v>
      </c>
      <c r="F581" s="40">
        <v>3</v>
      </c>
      <c r="G581" s="23">
        <v>0</v>
      </c>
      <c r="H581" s="44">
        <v>2173</v>
      </c>
      <c r="I581" s="44">
        <v>2198</v>
      </c>
      <c r="J581" s="1"/>
      <c r="K581" s="1"/>
    </row>
    <row r="582" spans="1:11" ht="18.75" customHeight="1">
      <c r="A582" s="75" t="s">
        <v>49</v>
      </c>
      <c r="B582" s="41">
        <v>200</v>
      </c>
      <c r="C582" s="41">
        <v>5</v>
      </c>
      <c r="D582" s="42" t="s">
        <v>12</v>
      </c>
      <c r="E582" s="43" t="s">
        <v>13</v>
      </c>
      <c r="F582" s="40">
        <v>6</v>
      </c>
      <c r="G582" s="23">
        <v>0</v>
      </c>
      <c r="H582" s="44">
        <v>2823</v>
      </c>
      <c r="I582" s="44">
        <v>2837</v>
      </c>
      <c r="J582" s="1"/>
      <c r="K582" s="1"/>
    </row>
    <row r="583" spans="1:11" ht="18.75" customHeight="1">
      <c r="A583" s="75" t="s">
        <v>50</v>
      </c>
      <c r="B583" s="41">
        <v>10</v>
      </c>
      <c r="C583" s="41">
        <v>1</v>
      </c>
      <c r="D583" s="42" t="s">
        <v>13</v>
      </c>
      <c r="E583" s="43" t="s">
        <v>13</v>
      </c>
      <c r="F583" s="40">
        <v>3</v>
      </c>
      <c r="G583" s="23">
        <v>0</v>
      </c>
      <c r="H583" s="44">
        <v>2780</v>
      </c>
      <c r="I583" s="44">
        <v>2885</v>
      </c>
      <c r="J583" s="1"/>
      <c r="K583" s="1"/>
    </row>
    <row r="584" spans="1:11" ht="18.75" customHeight="1">
      <c r="A584" s="75" t="s">
        <v>50</v>
      </c>
      <c r="B584" s="41">
        <v>90</v>
      </c>
      <c r="C584" s="41">
        <v>1</v>
      </c>
      <c r="D584" s="42" t="s">
        <v>14</v>
      </c>
      <c r="E584" s="43" t="s">
        <v>15</v>
      </c>
      <c r="F584" s="40">
        <v>7</v>
      </c>
      <c r="G584" s="23">
        <v>0</v>
      </c>
      <c r="H584" s="44">
        <v>2069</v>
      </c>
      <c r="I584" s="44">
        <v>2086</v>
      </c>
      <c r="J584" s="1">
        <v>2130</v>
      </c>
      <c r="K584" s="1"/>
    </row>
    <row r="585" spans="1:11" ht="18.75" customHeight="1">
      <c r="A585" s="75" t="s">
        <v>50</v>
      </c>
      <c r="B585" s="41">
        <v>90</v>
      </c>
      <c r="C585" s="41">
        <v>2</v>
      </c>
      <c r="D585" s="42" t="s">
        <v>14</v>
      </c>
      <c r="E585" s="43" t="s">
        <v>15</v>
      </c>
      <c r="F585" s="40">
        <v>7</v>
      </c>
      <c r="G585" s="23">
        <v>0</v>
      </c>
      <c r="H585" s="44">
        <v>1874</v>
      </c>
      <c r="I585" s="44">
        <v>1890</v>
      </c>
      <c r="J585" s="1">
        <v>1902</v>
      </c>
      <c r="K585" s="1"/>
    </row>
    <row r="586" spans="1:11" ht="18.75" customHeight="1">
      <c r="A586" s="75" t="s">
        <v>50</v>
      </c>
      <c r="B586" s="41">
        <v>70</v>
      </c>
      <c r="C586" s="41">
        <v>1</v>
      </c>
      <c r="D586" s="42" t="s">
        <v>14</v>
      </c>
      <c r="E586" s="43" t="s">
        <v>15</v>
      </c>
      <c r="F586" s="40">
        <v>7</v>
      </c>
      <c r="G586" s="23">
        <v>0</v>
      </c>
      <c r="H586" s="44">
        <v>2337</v>
      </c>
      <c r="I586" s="44">
        <v>2357</v>
      </c>
      <c r="J586" s="1">
        <v>2372</v>
      </c>
      <c r="K586" s="1"/>
    </row>
    <row r="587" spans="1:11" ht="18.75" customHeight="1">
      <c r="A587" s="75" t="s">
        <v>50</v>
      </c>
      <c r="B587" s="41">
        <v>50</v>
      </c>
      <c r="C587" s="41">
        <v>1</v>
      </c>
      <c r="D587" s="42" t="s">
        <v>14</v>
      </c>
      <c r="E587" s="43" t="s">
        <v>15</v>
      </c>
      <c r="F587" s="40">
        <v>7</v>
      </c>
      <c r="G587" s="23">
        <v>0</v>
      </c>
      <c r="H587" s="44">
        <v>2245</v>
      </c>
      <c r="I587" s="44">
        <v>2269</v>
      </c>
      <c r="J587" s="1">
        <v>2273</v>
      </c>
      <c r="K587" s="1"/>
    </row>
    <row r="588" spans="1:11" ht="18.75" customHeight="1">
      <c r="A588" s="75" t="s">
        <v>50</v>
      </c>
      <c r="B588" s="41">
        <v>30</v>
      </c>
      <c r="C588" s="41">
        <v>1</v>
      </c>
      <c r="D588" s="42" t="s">
        <v>12</v>
      </c>
      <c r="E588" s="43" t="s">
        <v>13</v>
      </c>
      <c r="F588" s="40">
        <v>6</v>
      </c>
      <c r="G588" s="23">
        <v>0</v>
      </c>
      <c r="H588" s="44">
        <v>2903</v>
      </c>
      <c r="I588" s="44">
        <v>2940</v>
      </c>
      <c r="J588" s="1"/>
      <c r="K588" s="1"/>
    </row>
    <row r="589" spans="1:11" ht="18.75" customHeight="1">
      <c r="A589" s="75" t="s">
        <v>50</v>
      </c>
      <c r="B589" s="41">
        <v>35</v>
      </c>
      <c r="C589" s="41">
        <v>1</v>
      </c>
      <c r="D589" s="42" t="s">
        <v>16</v>
      </c>
      <c r="E589" s="43" t="s">
        <v>15</v>
      </c>
      <c r="F589" s="40">
        <v>6</v>
      </c>
      <c r="G589" s="23">
        <v>1</v>
      </c>
      <c r="H589" s="44">
        <v>1989</v>
      </c>
      <c r="I589" s="44">
        <v>2023</v>
      </c>
      <c r="J589" s="1">
        <v>2084</v>
      </c>
      <c r="K589" s="1"/>
    </row>
    <row r="590" spans="1:11" ht="18.75" customHeight="1">
      <c r="A590" s="75" t="s">
        <v>50</v>
      </c>
      <c r="B590" s="41">
        <v>35</v>
      </c>
      <c r="C590" s="41">
        <v>2</v>
      </c>
      <c r="D590" s="42" t="s">
        <v>14</v>
      </c>
      <c r="E590" s="43" t="s">
        <v>15</v>
      </c>
      <c r="F590" s="40">
        <v>7</v>
      </c>
      <c r="G590" s="23">
        <v>1</v>
      </c>
      <c r="H590" s="44">
        <v>4555</v>
      </c>
      <c r="I590" s="44">
        <v>4588</v>
      </c>
      <c r="J590" s="1">
        <v>4589</v>
      </c>
      <c r="K590" s="1"/>
    </row>
    <row r="591" spans="1:11" ht="18.75" customHeight="1">
      <c r="A591" s="75" t="s">
        <v>50</v>
      </c>
      <c r="B591" s="41">
        <v>35</v>
      </c>
      <c r="C591" s="41">
        <v>3</v>
      </c>
      <c r="D591" s="42" t="s">
        <v>12</v>
      </c>
      <c r="E591" s="43" t="s">
        <v>13</v>
      </c>
      <c r="F591" s="40">
        <v>6</v>
      </c>
      <c r="G591" s="23">
        <v>1</v>
      </c>
      <c r="H591" s="44">
        <v>2604</v>
      </c>
      <c r="I591" s="44">
        <v>2637</v>
      </c>
      <c r="J591" s="1"/>
      <c r="K591" s="1"/>
    </row>
    <row r="592" spans="1:11" ht="18.75" customHeight="1">
      <c r="A592" s="75" t="s">
        <v>50</v>
      </c>
      <c r="B592" s="41">
        <v>35</v>
      </c>
      <c r="C592" s="41">
        <v>4</v>
      </c>
      <c r="D592" s="42" t="s">
        <v>14</v>
      </c>
      <c r="E592" s="43" t="s">
        <v>15</v>
      </c>
      <c r="F592" s="40">
        <v>7</v>
      </c>
      <c r="G592" s="23">
        <v>1</v>
      </c>
      <c r="H592" s="44">
        <v>2398</v>
      </c>
      <c r="I592" s="44">
        <v>2431</v>
      </c>
      <c r="J592" s="1">
        <v>2436</v>
      </c>
      <c r="K592" s="1"/>
    </row>
    <row r="593" spans="1:11" ht="18.75" customHeight="1">
      <c r="A593" s="75" t="s">
        <v>50</v>
      </c>
      <c r="B593" s="41">
        <v>33</v>
      </c>
      <c r="C593" s="41">
        <v>1</v>
      </c>
      <c r="D593" s="42" t="s">
        <v>14</v>
      </c>
      <c r="E593" s="43" t="s">
        <v>15</v>
      </c>
      <c r="F593" s="40">
        <v>6</v>
      </c>
      <c r="G593" s="23">
        <v>0</v>
      </c>
      <c r="H593" s="44">
        <v>1992</v>
      </c>
      <c r="I593" s="44">
        <v>2026</v>
      </c>
      <c r="J593" s="1">
        <v>2036</v>
      </c>
      <c r="K593" s="1"/>
    </row>
    <row r="594" spans="1:11" ht="18.75" customHeight="1">
      <c r="A594" s="75" t="s">
        <v>50</v>
      </c>
      <c r="B594" s="41">
        <v>33</v>
      </c>
      <c r="C594" s="41">
        <v>2</v>
      </c>
      <c r="D594" s="42" t="s">
        <v>14</v>
      </c>
      <c r="E594" s="43" t="s">
        <v>15</v>
      </c>
      <c r="F594" s="40">
        <v>7</v>
      </c>
      <c r="G594" s="23">
        <v>0</v>
      </c>
      <c r="H594" s="44">
        <v>1788</v>
      </c>
      <c r="I594" s="44">
        <v>1822</v>
      </c>
      <c r="J594" s="1">
        <v>1824</v>
      </c>
      <c r="K594" s="1"/>
    </row>
    <row r="595" spans="1:11" ht="18.75" customHeight="1">
      <c r="A595" s="75" t="s">
        <v>50</v>
      </c>
      <c r="B595" s="41">
        <v>33</v>
      </c>
      <c r="C595" s="41">
        <v>3</v>
      </c>
      <c r="D595" s="42" t="s">
        <v>14</v>
      </c>
      <c r="E595" s="43" t="s">
        <v>15</v>
      </c>
      <c r="F595" s="40">
        <v>7</v>
      </c>
      <c r="G595" s="23">
        <v>0</v>
      </c>
      <c r="H595" s="44">
        <v>2194</v>
      </c>
      <c r="I595" s="44">
        <v>2229</v>
      </c>
      <c r="J595" s="1">
        <v>2243</v>
      </c>
      <c r="K595" s="1"/>
    </row>
    <row r="596" spans="1:11" ht="18.75" customHeight="1">
      <c r="A596" s="75" t="s">
        <v>50</v>
      </c>
      <c r="B596" s="41">
        <v>30</v>
      </c>
      <c r="C596" s="41">
        <v>2</v>
      </c>
      <c r="D596" s="42" t="s">
        <v>12</v>
      </c>
      <c r="E596" s="43" t="s">
        <v>13</v>
      </c>
      <c r="F596" s="40">
        <v>6</v>
      </c>
      <c r="G596" s="23">
        <v>0</v>
      </c>
      <c r="H596" s="44">
        <v>3389</v>
      </c>
      <c r="I596" s="44">
        <v>3427</v>
      </c>
      <c r="J596" s="1"/>
      <c r="K596" s="1"/>
    </row>
    <row r="597" spans="1:11" ht="18.75" customHeight="1">
      <c r="A597" s="75" t="s">
        <v>50</v>
      </c>
      <c r="B597" s="41">
        <v>31</v>
      </c>
      <c r="C597" s="41">
        <v>1</v>
      </c>
      <c r="D597" s="42" t="s">
        <v>12</v>
      </c>
      <c r="E597" s="43" t="s">
        <v>13</v>
      </c>
      <c r="F597" s="40">
        <v>6</v>
      </c>
      <c r="G597" s="23">
        <v>0</v>
      </c>
      <c r="H597" s="44">
        <v>2453</v>
      </c>
      <c r="I597" s="44">
        <v>2490</v>
      </c>
      <c r="J597" s="1"/>
      <c r="K597" s="1"/>
    </row>
    <row r="598" spans="1:11" ht="18.75" customHeight="1">
      <c r="A598" s="75" t="s">
        <v>50</v>
      </c>
      <c r="B598" s="41">
        <v>32</v>
      </c>
      <c r="C598" s="41">
        <v>1</v>
      </c>
      <c r="D598" s="42" t="s">
        <v>16</v>
      </c>
      <c r="E598" s="43" t="s">
        <v>15</v>
      </c>
      <c r="F598" s="40">
        <v>6</v>
      </c>
      <c r="G598" s="23">
        <v>0</v>
      </c>
      <c r="H598" s="44">
        <v>1754</v>
      </c>
      <c r="I598" s="44">
        <v>1790</v>
      </c>
      <c r="J598" s="1">
        <v>1888</v>
      </c>
      <c r="K598" s="1"/>
    </row>
    <row r="599" spans="1:11" ht="18.75" customHeight="1">
      <c r="A599" s="75" t="s">
        <v>50</v>
      </c>
      <c r="B599" s="41">
        <v>32</v>
      </c>
      <c r="C599" s="41">
        <v>2</v>
      </c>
      <c r="D599" s="42" t="s">
        <v>12</v>
      </c>
      <c r="E599" s="43" t="s">
        <v>13</v>
      </c>
      <c r="F599" s="40">
        <v>5</v>
      </c>
      <c r="G599" s="23">
        <v>0</v>
      </c>
      <c r="H599" s="44">
        <v>2117</v>
      </c>
      <c r="I599" s="44">
        <v>2153</v>
      </c>
      <c r="J599" s="1"/>
      <c r="K599" s="1"/>
    </row>
    <row r="600" spans="1:11" ht="18.75" customHeight="1">
      <c r="A600" s="75" t="s">
        <v>50</v>
      </c>
      <c r="B600" s="41">
        <v>32</v>
      </c>
      <c r="C600" s="41">
        <v>3</v>
      </c>
      <c r="D600" s="42" t="s">
        <v>12</v>
      </c>
      <c r="E600" s="43" t="s">
        <v>13</v>
      </c>
      <c r="F600" s="40">
        <v>6</v>
      </c>
      <c r="G600" s="23">
        <v>0</v>
      </c>
      <c r="H600" s="44">
        <v>2266</v>
      </c>
      <c r="I600" s="44">
        <v>2301</v>
      </c>
      <c r="J600" s="1"/>
      <c r="K600" s="1"/>
    </row>
    <row r="601" spans="1:11" ht="18.75" customHeight="1">
      <c r="A601" s="75" t="s">
        <v>50</v>
      </c>
      <c r="B601" s="41">
        <v>34</v>
      </c>
      <c r="C601" s="41">
        <v>1</v>
      </c>
      <c r="D601" s="42" t="s">
        <v>14</v>
      </c>
      <c r="E601" s="43" t="s">
        <v>15</v>
      </c>
      <c r="F601" s="40">
        <v>6</v>
      </c>
      <c r="G601" s="23">
        <v>0</v>
      </c>
      <c r="H601" s="44">
        <v>1632</v>
      </c>
      <c r="I601" s="44">
        <v>1667</v>
      </c>
      <c r="J601" s="1">
        <v>1682</v>
      </c>
      <c r="K601" s="1"/>
    </row>
    <row r="602" spans="1:11" ht="18.75" customHeight="1">
      <c r="A602" s="75" t="s">
        <v>50</v>
      </c>
      <c r="B602" s="41">
        <v>34</v>
      </c>
      <c r="C602" s="41">
        <v>2</v>
      </c>
      <c r="D602" s="42" t="s">
        <v>16</v>
      </c>
      <c r="E602" s="43" t="s">
        <v>15</v>
      </c>
      <c r="F602" s="40">
        <v>6</v>
      </c>
      <c r="G602" s="23">
        <v>0</v>
      </c>
      <c r="H602" s="44">
        <v>2028</v>
      </c>
      <c r="I602" s="44">
        <v>2062</v>
      </c>
      <c r="J602" s="1">
        <v>2133</v>
      </c>
      <c r="K602" s="1"/>
    </row>
    <row r="603" spans="1:11" ht="18.75" customHeight="1">
      <c r="A603" s="75" t="s">
        <v>50</v>
      </c>
      <c r="B603" s="41">
        <v>31</v>
      </c>
      <c r="C603" s="41">
        <v>2</v>
      </c>
      <c r="D603" s="42" t="s">
        <v>14</v>
      </c>
      <c r="E603" s="43" t="s">
        <v>15</v>
      </c>
      <c r="F603" s="40">
        <v>6</v>
      </c>
      <c r="G603" s="23">
        <v>0</v>
      </c>
      <c r="H603" s="44">
        <v>2190</v>
      </c>
      <c r="I603" s="44">
        <v>2224</v>
      </c>
      <c r="J603" s="1">
        <v>2240</v>
      </c>
      <c r="K603" s="1"/>
    </row>
    <row r="604" spans="1:11" ht="18.75" customHeight="1">
      <c r="A604" s="75" t="s">
        <v>50</v>
      </c>
      <c r="B604" s="41">
        <v>30</v>
      </c>
      <c r="C604" s="41">
        <v>3</v>
      </c>
      <c r="D604" s="42" t="s">
        <v>14</v>
      </c>
      <c r="E604" s="43" t="s">
        <v>15</v>
      </c>
      <c r="F604" s="40">
        <v>6</v>
      </c>
      <c r="G604" s="23">
        <v>0</v>
      </c>
      <c r="H604" s="44">
        <v>2531</v>
      </c>
      <c r="I604" s="44">
        <v>2569</v>
      </c>
      <c r="J604" s="1">
        <v>2566</v>
      </c>
      <c r="K604" s="1"/>
    </row>
    <row r="605" spans="1:11" ht="18.75" customHeight="1">
      <c r="A605" s="75" t="s">
        <v>51</v>
      </c>
      <c r="B605" s="41">
        <v>10</v>
      </c>
      <c r="C605" s="41">
        <v>1</v>
      </c>
      <c r="D605" s="42" t="s">
        <v>16</v>
      </c>
      <c r="E605" s="43" t="s">
        <v>15</v>
      </c>
      <c r="F605" s="40">
        <v>6</v>
      </c>
      <c r="G605" s="23">
        <v>0</v>
      </c>
      <c r="H605" s="44">
        <v>2310</v>
      </c>
      <c r="I605" s="44">
        <v>2415</v>
      </c>
      <c r="J605" s="1">
        <v>2339</v>
      </c>
      <c r="K605" s="1"/>
    </row>
    <row r="606" spans="1:11" ht="18.75" customHeight="1">
      <c r="A606" s="75" t="s">
        <v>51</v>
      </c>
      <c r="B606" s="41">
        <v>20</v>
      </c>
      <c r="C606" s="41">
        <v>1</v>
      </c>
      <c r="D606" s="42" t="s">
        <v>14</v>
      </c>
      <c r="E606" s="43" t="s">
        <v>15</v>
      </c>
      <c r="F606" s="40">
        <v>6</v>
      </c>
      <c r="G606" s="23">
        <v>1</v>
      </c>
      <c r="H606" s="44">
        <v>2152</v>
      </c>
      <c r="I606" s="44">
        <v>2208</v>
      </c>
      <c r="J606" s="1">
        <v>2218</v>
      </c>
      <c r="K606" s="1"/>
    </row>
    <row r="607" spans="1:11" ht="18.75" customHeight="1">
      <c r="A607" s="75" t="s">
        <v>51</v>
      </c>
      <c r="B607" s="41">
        <v>20</v>
      </c>
      <c r="C607" s="41">
        <v>2</v>
      </c>
      <c r="D607" s="42" t="s">
        <v>12</v>
      </c>
      <c r="E607" s="43" t="s">
        <v>13</v>
      </c>
      <c r="F607" s="37">
        <v>6</v>
      </c>
      <c r="G607" s="23">
        <v>1</v>
      </c>
      <c r="H607" s="41">
        <v>1771</v>
      </c>
      <c r="I607" s="41">
        <v>1827</v>
      </c>
      <c r="J607" s="1"/>
      <c r="K607" s="1"/>
    </row>
    <row r="608" spans="1:11" ht="18.75" customHeight="1">
      <c r="A608" s="75" t="s">
        <v>51</v>
      </c>
      <c r="B608" s="41">
        <v>25</v>
      </c>
      <c r="C608" s="41">
        <v>1</v>
      </c>
      <c r="D608" s="42" t="s">
        <v>16</v>
      </c>
      <c r="E608" s="43" t="s">
        <v>15</v>
      </c>
      <c r="F608" s="37">
        <v>7</v>
      </c>
      <c r="G608" s="23">
        <v>0</v>
      </c>
      <c r="H608" s="44">
        <v>2670</v>
      </c>
      <c r="I608" s="44">
        <v>2714</v>
      </c>
      <c r="J608" s="1">
        <v>2699</v>
      </c>
      <c r="K608" s="1"/>
    </row>
    <row r="609" spans="1:11" ht="18.75" customHeight="1">
      <c r="A609" s="75" t="s">
        <v>51</v>
      </c>
      <c r="B609" s="41">
        <v>25</v>
      </c>
      <c r="C609" s="41">
        <v>2</v>
      </c>
      <c r="D609" s="42" t="s">
        <v>14</v>
      </c>
      <c r="E609" s="43" t="s">
        <v>15</v>
      </c>
      <c r="F609" s="37">
        <v>7</v>
      </c>
      <c r="G609" s="23">
        <v>0</v>
      </c>
      <c r="H609" s="44">
        <v>2231</v>
      </c>
      <c r="I609" s="44">
        <v>2275</v>
      </c>
      <c r="J609" s="1">
        <v>2293</v>
      </c>
      <c r="K609" s="1"/>
    </row>
    <row r="610" spans="1:11" ht="18.75" customHeight="1">
      <c r="A610" s="75" t="s">
        <v>51</v>
      </c>
      <c r="B610" s="41">
        <v>23</v>
      </c>
      <c r="C610" s="41">
        <v>1</v>
      </c>
      <c r="D610" s="42" t="s">
        <v>14</v>
      </c>
      <c r="E610" s="43" t="s">
        <v>15</v>
      </c>
      <c r="F610" s="37">
        <v>7</v>
      </c>
      <c r="G610" s="23">
        <v>0</v>
      </c>
      <c r="H610" s="44">
        <v>3145</v>
      </c>
      <c r="I610" s="44">
        <v>3193</v>
      </c>
      <c r="J610" s="1">
        <v>3177</v>
      </c>
      <c r="K610" s="1"/>
    </row>
    <row r="611" spans="1:11" ht="18.75" customHeight="1">
      <c r="A611" s="75" t="s">
        <v>51</v>
      </c>
      <c r="B611" s="41">
        <v>23</v>
      </c>
      <c r="C611" s="41">
        <v>2</v>
      </c>
      <c r="D611" s="42" t="s">
        <v>14</v>
      </c>
      <c r="E611" s="43" t="s">
        <v>15</v>
      </c>
      <c r="F611" s="37">
        <v>8</v>
      </c>
      <c r="G611" s="23">
        <v>0</v>
      </c>
      <c r="H611" s="44">
        <v>3618</v>
      </c>
      <c r="I611" s="44">
        <v>3666</v>
      </c>
      <c r="J611" s="1">
        <v>3654</v>
      </c>
      <c r="K611" s="1"/>
    </row>
    <row r="612" spans="1:11" ht="18.75" customHeight="1">
      <c r="A612" s="75" t="s">
        <v>51</v>
      </c>
      <c r="B612" s="41">
        <v>20</v>
      </c>
      <c r="C612" s="41">
        <v>3</v>
      </c>
      <c r="D612" s="42" t="s">
        <v>14</v>
      </c>
      <c r="E612" s="43" t="s">
        <v>15</v>
      </c>
      <c r="F612" s="37">
        <v>7</v>
      </c>
      <c r="G612" s="23">
        <v>1</v>
      </c>
      <c r="H612" s="44">
        <v>2599</v>
      </c>
      <c r="I612" s="44">
        <v>2654</v>
      </c>
      <c r="J612" s="1">
        <v>2632</v>
      </c>
      <c r="K612" s="1"/>
    </row>
    <row r="613" spans="1:11" ht="18.75" customHeight="1">
      <c r="A613" s="75" t="s">
        <v>51</v>
      </c>
      <c r="B613" s="41">
        <v>15</v>
      </c>
      <c r="C613" s="41">
        <v>1</v>
      </c>
      <c r="D613" s="42" t="s">
        <v>12</v>
      </c>
      <c r="E613" s="43" t="s">
        <v>13</v>
      </c>
      <c r="F613" s="37">
        <v>4</v>
      </c>
      <c r="G613" s="23">
        <v>0</v>
      </c>
      <c r="H613" s="44">
        <v>2156</v>
      </c>
      <c r="I613" s="44">
        <v>2226</v>
      </c>
      <c r="J613" s="1"/>
      <c r="K613" s="1"/>
    </row>
    <row r="614" spans="1:11" ht="18.75" customHeight="1">
      <c r="A614" s="75" t="s">
        <v>51</v>
      </c>
      <c r="B614" s="41">
        <v>20</v>
      </c>
      <c r="C614" s="41">
        <v>4</v>
      </c>
      <c r="D614" s="42" t="s">
        <v>12</v>
      </c>
      <c r="E614" s="43" t="s">
        <v>13</v>
      </c>
      <c r="F614" s="37">
        <v>5</v>
      </c>
      <c r="G614" s="23">
        <v>1</v>
      </c>
      <c r="H614" s="44">
        <v>3081</v>
      </c>
      <c r="I614" s="44">
        <v>3135</v>
      </c>
      <c r="J614" s="1"/>
      <c r="K614" s="1"/>
    </row>
    <row r="615" spans="1:11" ht="18.75" customHeight="1">
      <c r="A615" s="75" t="s">
        <v>51</v>
      </c>
      <c r="B615" s="41">
        <v>25</v>
      </c>
      <c r="C615" s="41">
        <v>3</v>
      </c>
      <c r="D615" s="42" t="s">
        <v>16</v>
      </c>
      <c r="E615" s="43" t="s">
        <v>15</v>
      </c>
      <c r="F615" s="37">
        <v>8</v>
      </c>
      <c r="G615" s="23">
        <v>0</v>
      </c>
      <c r="H615" s="44">
        <v>4857</v>
      </c>
      <c r="I615" s="44">
        <v>4902</v>
      </c>
      <c r="J615" s="1">
        <v>4883</v>
      </c>
      <c r="K615" s="1"/>
    </row>
    <row r="616" spans="1:11" ht="18.75" customHeight="1">
      <c r="A616" s="75" t="s">
        <v>51</v>
      </c>
      <c r="B616" s="41">
        <v>23</v>
      </c>
      <c r="C616" s="41">
        <v>3</v>
      </c>
      <c r="D616" s="42" t="s">
        <v>16</v>
      </c>
      <c r="E616" s="43" t="s">
        <v>15</v>
      </c>
      <c r="F616" s="37">
        <v>7</v>
      </c>
      <c r="G616" s="23">
        <v>0</v>
      </c>
      <c r="H616" s="44">
        <v>2597</v>
      </c>
      <c r="I616" s="44">
        <v>2643</v>
      </c>
      <c r="J616" s="1">
        <v>2624</v>
      </c>
      <c r="K616" s="1"/>
    </row>
    <row r="617" spans="1:11" ht="18.75" customHeight="1">
      <c r="A617" s="75" t="s">
        <v>51</v>
      </c>
      <c r="B617" s="48">
        <v>21.5</v>
      </c>
      <c r="C617" s="41">
        <v>1</v>
      </c>
      <c r="D617" s="42" t="s">
        <v>16</v>
      </c>
      <c r="E617" s="43" t="s">
        <v>15</v>
      </c>
      <c r="F617" s="37">
        <v>6</v>
      </c>
      <c r="G617" s="23">
        <v>0</v>
      </c>
      <c r="H617" s="44">
        <v>2245</v>
      </c>
      <c r="I617" s="44">
        <v>2296</v>
      </c>
      <c r="J617" s="1">
        <v>2277</v>
      </c>
      <c r="K617" s="1"/>
    </row>
    <row r="618" spans="1:11" ht="18.75" customHeight="1">
      <c r="A618" s="75" t="s">
        <v>51</v>
      </c>
      <c r="B618" s="48">
        <v>21.5</v>
      </c>
      <c r="C618" s="41">
        <v>2</v>
      </c>
      <c r="D618" s="42" t="s">
        <v>14</v>
      </c>
      <c r="E618" s="43" t="s">
        <v>15</v>
      </c>
      <c r="F618" s="37">
        <v>5</v>
      </c>
      <c r="G618" s="23">
        <v>0</v>
      </c>
      <c r="H618" s="44">
        <v>2382</v>
      </c>
      <c r="I618" s="44">
        <v>2433</v>
      </c>
      <c r="J618" s="1">
        <v>2460</v>
      </c>
      <c r="K618" s="1"/>
    </row>
    <row r="619" spans="1:11" ht="18.75" customHeight="1">
      <c r="A619" s="75" t="s">
        <v>51</v>
      </c>
      <c r="B619" s="41">
        <v>20</v>
      </c>
      <c r="C619" s="41">
        <v>5</v>
      </c>
      <c r="D619" s="42" t="s">
        <v>16</v>
      </c>
      <c r="E619" s="43" t="s">
        <v>15</v>
      </c>
      <c r="F619" s="37">
        <v>6</v>
      </c>
      <c r="G619" s="23">
        <v>1</v>
      </c>
      <c r="H619" s="44">
        <v>2053</v>
      </c>
      <c r="I619" s="44">
        <v>2108</v>
      </c>
      <c r="J619" s="1">
        <v>2086</v>
      </c>
      <c r="K619" s="1"/>
    </row>
    <row r="620" spans="1:11" ht="18.75" customHeight="1">
      <c r="A620" s="75" t="s">
        <v>51</v>
      </c>
      <c r="B620" s="41">
        <v>20</v>
      </c>
      <c r="C620" s="41">
        <v>6</v>
      </c>
      <c r="D620" s="42" t="s">
        <v>14</v>
      </c>
      <c r="E620" s="43" t="s">
        <v>15</v>
      </c>
      <c r="F620" s="37">
        <v>7</v>
      </c>
      <c r="G620" s="23">
        <v>1</v>
      </c>
      <c r="H620" s="44">
        <v>2987</v>
      </c>
      <c r="I620" s="44">
        <v>3041</v>
      </c>
      <c r="J620" s="1">
        <v>3022</v>
      </c>
      <c r="K620" s="1"/>
    </row>
    <row r="621" spans="1:11" ht="18.75" customHeight="1">
      <c r="A621" s="75" t="s">
        <v>51</v>
      </c>
      <c r="B621" s="41">
        <v>15</v>
      </c>
      <c r="C621" s="41">
        <v>2</v>
      </c>
      <c r="D621" s="42" t="s">
        <v>12</v>
      </c>
      <c r="E621" s="43" t="s">
        <v>13</v>
      </c>
      <c r="F621" s="37">
        <v>3</v>
      </c>
      <c r="G621" s="23">
        <v>0</v>
      </c>
      <c r="H621" s="44">
        <v>2547</v>
      </c>
      <c r="I621" s="44">
        <v>2619</v>
      </c>
      <c r="J621" s="1"/>
      <c r="K621" s="1"/>
    </row>
    <row r="622" spans="1:11" ht="18.75" customHeight="1">
      <c r="A622" s="75" t="s">
        <v>51</v>
      </c>
      <c r="B622" s="41">
        <v>18</v>
      </c>
      <c r="C622" s="41">
        <v>1</v>
      </c>
      <c r="D622" s="42" t="s">
        <v>12</v>
      </c>
      <c r="E622" s="43" t="s">
        <v>13</v>
      </c>
      <c r="F622" s="37">
        <v>4</v>
      </c>
      <c r="G622" s="23">
        <v>0</v>
      </c>
      <c r="H622" s="44">
        <v>4162</v>
      </c>
      <c r="I622" s="44">
        <v>4223</v>
      </c>
      <c r="J622" s="1"/>
      <c r="K622" s="1"/>
    </row>
    <row r="623" spans="1:11" ht="18.75" customHeight="1">
      <c r="A623" s="75" t="s">
        <v>51</v>
      </c>
      <c r="B623" s="41">
        <v>10</v>
      </c>
      <c r="C623" s="41">
        <v>2</v>
      </c>
      <c r="D623" s="42" t="s">
        <v>13</v>
      </c>
      <c r="E623" s="43" t="s">
        <v>13</v>
      </c>
      <c r="F623" s="37">
        <v>1</v>
      </c>
      <c r="G623" s="23">
        <v>0</v>
      </c>
      <c r="H623" s="44">
        <v>2384</v>
      </c>
      <c r="I623" s="44">
        <v>2489</v>
      </c>
      <c r="J623" s="1"/>
      <c r="K623" s="1"/>
    </row>
    <row r="624" spans="1:11" ht="18.75" customHeight="1">
      <c r="A624" s="75" t="s">
        <v>52</v>
      </c>
      <c r="B624" s="41">
        <v>10</v>
      </c>
      <c r="C624" s="41">
        <v>1</v>
      </c>
      <c r="D624" s="42" t="s">
        <v>12</v>
      </c>
      <c r="E624" s="43" t="s">
        <v>13</v>
      </c>
      <c r="F624" s="40">
        <v>3</v>
      </c>
      <c r="G624" s="23">
        <v>0</v>
      </c>
      <c r="H624" s="44">
        <v>1704</v>
      </c>
      <c r="I624" s="44">
        <v>1809</v>
      </c>
      <c r="J624" s="1"/>
      <c r="K624" s="1"/>
    </row>
    <row r="625" spans="1:11" ht="18.75" customHeight="1">
      <c r="A625" s="75" t="s">
        <v>52</v>
      </c>
      <c r="B625" s="41">
        <v>30</v>
      </c>
      <c r="C625" s="41">
        <v>1</v>
      </c>
      <c r="D625" s="42" t="s">
        <v>12</v>
      </c>
      <c r="E625" s="43" t="s">
        <v>13</v>
      </c>
      <c r="F625" s="40">
        <v>5</v>
      </c>
      <c r="G625" s="23">
        <v>0</v>
      </c>
      <c r="H625" s="44">
        <v>1401</v>
      </c>
      <c r="I625" s="44">
        <v>1438</v>
      </c>
      <c r="J625" s="1"/>
      <c r="K625" s="1"/>
    </row>
    <row r="626" spans="1:11" ht="18.75" customHeight="1">
      <c r="A626" s="75" t="s">
        <v>52</v>
      </c>
      <c r="B626" s="41">
        <v>50</v>
      </c>
      <c r="C626" s="41">
        <v>1</v>
      </c>
      <c r="D626" s="42" t="s">
        <v>12</v>
      </c>
      <c r="E626" s="43" t="s">
        <v>13</v>
      </c>
      <c r="F626" s="40">
        <v>6</v>
      </c>
      <c r="G626" s="23">
        <v>0</v>
      </c>
      <c r="H626" s="44">
        <v>2400</v>
      </c>
      <c r="I626" s="44">
        <v>2424</v>
      </c>
      <c r="J626" s="1"/>
      <c r="K626" s="1"/>
    </row>
    <row r="627" spans="1:11" ht="18.75" customHeight="1">
      <c r="A627" s="75" t="s">
        <v>52</v>
      </c>
      <c r="B627" s="41">
        <v>70</v>
      </c>
      <c r="C627" s="41">
        <v>1</v>
      </c>
      <c r="D627" s="42" t="s">
        <v>12</v>
      </c>
      <c r="E627" s="43" t="s">
        <v>13</v>
      </c>
      <c r="F627" s="40">
        <v>6</v>
      </c>
      <c r="G627" s="23">
        <v>0</v>
      </c>
      <c r="H627" s="44">
        <v>2048</v>
      </c>
      <c r="I627" s="44">
        <v>2067</v>
      </c>
      <c r="J627" s="1"/>
      <c r="K627" s="1"/>
    </row>
    <row r="628" spans="1:11" ht="18.75" customHeight="1">
      <c r="A628" s="75" t="s">
        <v>52</v>
      </c>
      <c r="B628" s="41">
        <v>90</v>
      </c>
      <c r="C628" s="41">
        <v>1</v>
      </c>
      <c r="D628" s="42" t="s">
        <v>12</v>
      </c>
      <c r="E628" s="43" t="s">
        <v>13</v>
      </c>
      <c r="F628" s="40">
        <v>8</v>
      </c>
      <c r="G628" s="23">
        <v>0</v>
      </c>
      <c r="H628" s="44">
        <v>2250</v>
      </c>
      <c r="I628" s="44">
        <v>2267</v>
      </c>
      <c r="J628" s="1"/>
      <c r="K628" s="1"/>
    </row>
    <row r="629" spans="1:11" ht="18.75" customHeight="1">
      <c r="A629" s="75" t="s">
        <v>52</v>
      </c>
      <c r="B629" s="41">
        <v>120</v>
      </c>
      <c r="C629" s="41">
        <v>1</v>
      </c>
      <c r="D629" s="42" t="s">
        <v>12</v>
      </c>
      <c r="E629" s="43" t="s">
        <v>13</v>
      </c>
      <c r="F629" s="40">
        <v>8</v>
      </c>
      <c r="G629" s="23">
        <v>0</v>
      </c>
      <c r="H629" s="44">
        <v>2433</v>
      </c>
      <c r="I629" s="44">
        <v>2447</v>
      </c>
      <c r="J629" s="1"/>
      <c r="K629" s="1"/>
    </row>
    <row r="630" spans="1:11" ht="18.75" customHeight="1">
      <c r="A630" s="75" t="s">
        <v>52</v>
      </c>
      <c r="B630" s="41">
        <v>150</v>
      </c>
      <c r="C630" s="41">
        <v>1</v>
      </c>
      <c r="D630" s="42" t="s">
        <v>12</v>
      </c>
      <c r="E630" s="43" t="s">
        <v>13</v>
      </c>
      <c r="F630" s="40">
        <v>8</v>
      </c>
      <c r="G630" s="23">
        <v>0</v>
      </c>
      <c r="H630" s="44">
        <v>4355</v>
      </c>
      <c r="I630" s="44">
        <v>4368</v>
      </c>
      <c r="J630" s="1"/>
      <c r="K630" s="1"/>
    </row>
    <row r="631" spans="1:11" ht="18.75" customHeight="1">
      <c r="A631" s="75" t="s">
        <v>52</v>
      </c>
      <c r="B631" s="41">
        <v>170</v>
      </c>
      <c r="C631" s="41">
        <v>1</v>
      </c>
      <c r="D631" s="42" t="s">
        <v>12</v>
      </c>
      <c r="E631" s="43" t="s">
        <v>13</v>
      </c>
      <c r="F631" s="40">
        <v>8</v>
      </c>
      <c r="G631" s="23">
        <v>0</v>
      </c>
      <c r="H631" s="44">
        <v>2693</v>
      </c>
      <c r="I631" s="44">
        <v>2707</v>
      </c>
      <c r="J631" s="1"/>
      <c r="K631" s="1"/>
    </row>
    <row r="632" spans="1:11" ht="18.75" customHeight="1">
      <c r="A632" s="75" t="s">
        <v>52</v>
      </c>
      <c r="B632" s="41">
        <v>200</v>
      </c>
      <c r="C632" s="41">
        <v>1</v>
      </c>
      <c r="D632" s="42" t="s">
        <v>12</v>
      </c>
      <c r="E632" s="43" t="s">
        <v>13</v>
      </c>
      <c r="F632" s="40">
        <v>8</v>
      </c>
      <c r="G632" s="23">
        <v>0</v>
      </c>
      <c r="H632" s="44">
        <v>2615</v>
      </c>
      <c r="I632" s="44">
        <v>2629</v>
      </c>
      <c r="J632" s="1"/>
      <c r="K632" s="1"/>
    </row>
    <row r="633" spans="1:11" ht="18.75" customHeight="1">
      <c r="A633" s="75" t="s">
        <v>52</v>
      </c>
      <c r="B633" s="41">
        <v>200</v>
      </c>
      <c r="C633" s="41">
        <v>2</v>
      </c>
      <c r="D633" s="42" t="s">
        <v>13</v>
      </c>
      <c r="E633" s="43" t="s">
        <v>13</v>
      </c>
      <c r="F633" s="40">
        <v>9</v>
      </c>
      <c r="G633" s="23">
        <v>0</v>
      </c>
      <c r="H633" s="44">
        <v>1891</v>
      </c>
      <c r="I633" s="44">
        <v>1905</v>
      </c>
      <c r="J633" s="1"/>
      <c r="K633" s="1"/>
    </row>
    <row r="634" spans="1:11" ht="18.75" customHeight="1">
      <c r="A634" s="75" t="s">
        <v>52</v>
      </c>
      <c r="B634" s="41">
        <v>200</v>
      </c>
      <c r="C634" s="41">
        <v>3</v>
      </c>
      <c r="D634" s="42" t="s">
        <v>12</v>
      </c>
      <c r="E634" s="43" t="s">
        <v>13</v>
      </c>
      <c r="F634" s="40">
        <v>8</v>
      </c>
      <c r="G634" s="23">
        <v>0</v>
      </c>
      <c r="H634" s="44">
        <v>1564</v>
      </c>
      <c r="I634" s="44">
        <v>1577</v>
      </c>
      <c r="J634" s="1"/>
      <c r="K634" s="1"/>
    </row>
    <row r="635" spans="1:11" ht="18.75" customHeight="1">
      <c r="A635" s="75" t="s">
        <v>52</v>
      </c>
      <c r="B635" s="41">
        <v>135</v>
      </c>
      <c r="C635" s="41">
        <v>1</v>
      </c>
      <c r="D635" s="42" t="s">
        <v>12</v>
      </c>
      <c r="E635" s="43" t="s">
        <v>13</v>
      </c>
      <c r="F635" s="40">
        <v>5</v>
      </c>
      <c r="G635" s="23">
        <v>0</v>
      </c>
      <c r="H635" s="44">
        <v>1893</v>
      </c>
      <c r="I635" s="44">
        <v>1906</v>
      </c>
      <c r="J635" s="1"/>
      <c r="K635" s="1"/>
    </row>
    <row r="636" spans="1:11" ht="18.75" customHeight="1">
      <c r="A636" s="75" t="s">
        <v>52</v>
      </c>
      <c r="B636" s="41">
        <v>105</v>
      </c>
      <c r="C636" s="41">
        <v>1</v>
      </c>
      <c r="D636" s="42" t="s">
        <v>12</v>
      </c>
      <c r="E636" s="43" t="s">
        <v>13</v>
      </c>
      <c r="F636" s="40">
        <v>6</v>
      </c>
      <c r="G636" s="23">
        <v>0</v>
      </c>
      <c r="H636" s="44">
        <v>1753</v>
      </c>
      <c r="I636" s="44">
        <v>1788</v>
      </c>
      <c r="J636" s="1"/>
      <c r="K636" s="1"/>
    </row>
    <row r="637" spans="1:11" ht="18.75" customHeight="1">
      <c r="A637" s="75" t="s">
        <v>53</v>
      </c>
      <c r="B637" s="41">
        <v>10</v>
      </c>
      <c r="C637" s="41">
        <v>1</v>
      </c>
      <c r="D637" s="42" t="s">
        <v>13</v>
      </c>
      <c r="E637" s="43" t="s">
        <v>13</v>
      </c>
      <c r="F637" s="40">
        <v>2</v>
      </c>
      <c r="G637" s="23">
        <v>0</v>
      </c>
      <c r="H637" s="44">
        <v>1815</v>
      </c>
      <c r="I637" s="44">
        <v>1920</v>
      </c>
      <c r="J637" s="1"/>
      <c r="K637" s="1"/>
    </row>
    <row r="638" spans="1:11" ht="18.75" customHeight="1">
      <c r="A638" s="75" t="s">
        <v>53</v>
      </c>
      <c r="B638" s="41">
        <v>25</v>
      </c>
      <c r="C638" s="41">
        <v>1</v>
      </c>
      <c r="D638" s="42" t="s">
        <v>12</v>
      </c>
      <c r="E638" s="43" t="s">
        <v>13</v>
      </c>
      <c r="F638" s="40">
        <v>2</v>
      </c>
      <c r="G638" s="23">
        <v>0</v>
      </c>
      <c r="H638" s="44">
        <v>2087</v>
      </c>
      <c r="I638" s="44">
        <v>2132</v>
      </c>
      <c r="J638" s="1"/>
      <c r="K638" s="1"/>
    </row>
    <row r="639" spans="1:11" ht="18.75" customHeight="1">
      <c r="A639" s="75" t="s">
        <v>53</v>
      </c>
      <c r="B639" s="41">
        <v>30</v>
      </c>
      <c r="C639" s="41">
        <v>1</v>
      </c>
      <c r="D639" s="42" t="s">
        <v>16</v>
      </c>
      <c r="E639" s="43" t="s">
        <v>15</v>
      </c>
      <c r="F639" s="40">
        <v>3</v>
      </c>
      <c r="G639" s="23">
        <v>1</v>
      </c>
      <c r="H639" s="44">
        <v>2513</v>
      </c>
      <c r="I639" s="44">
        <v>2549</v>
      </c>
      <c r="J639" s="1">
        <v>2558</v>
      </c>
      <c r="K639" s="1"/>
    </row>
    <row r="640" spans="1:11" ht="18.75" customHeight="1">
      <c r="A640" s="75" t="s">
        <v>53</v>
      </c>
      <c r="B640" s="41">
        <v>30</v>
      </c>
      <c r="C640" s="41">
        <v>2</v>
      </c>
      <c r="D640" s="42" t="s">
        <v>14</v>
      </c>
      <c r="E640" s="43" t="s">
        <v>15</v>
      </c>
      <c r="F640" s="40">
        <v>3</v>
      </c>
      <c r="G640" s="23">
        <v>1</v>
      </c>
      <c r="H640" s="44">
        <v>1887</v>
      </c>
      <c r="I640" s="44">
        <v>1926</v>
      </c>
      <c r="J640" s="1">
        <v>1913</v>
      </c>
      <c r="K640" s="1"/>
    </row>
    <row r="641" spans="1:11" ht="18.75" customHeight="1">
      <c r="A641" s="75" t="s">
        <v>53</v>
      </c>
      <c r="B641" s="41">
        <v>30</v>
      </c>
      <c r="C641" s="41">
        <v>3</v>
      </c>
      <c r="D641" s="42" t="s">
        <v>14</v>
      </c>
      <c r="E641" s="43" t="s">
        <v>15</v>
      </c>
      <c r="F641" s="40">
        <v>3</v>
      </c>
      <c r="G641" s="23">
        <v>1</v>
      </c>
      <c r="H641" s="44">
        <v>2147</v>
      </c>
      <c r="I641" s="44">
        <v>2185</v>
      </c>
      <c r="J641" s="1">
        <v>2230</v>
      </c>
      <c r="K641" s="1"/>
    </row>
    <row r="642" spans="1:11" ht="18.75" customHeight="1">
      <c r="A642" s="75" t="s">
        <v>53</v>
      </c>
      <c r="B642" s="48">
        <v>27.5</v>
      </c>
      <c r="C642" s="41">
        <v>1</v>
      </c>
      <c r="D642" s="42" t="s">
        <v>12</v>
      </c>
      <c r="E642" s="43" t="s">
        <v>13</v>
      </c>
      <c r="F642" s="40">
        <v>2</v>
      </c>
      <c r="G642" s="23">
        <v>0</v>
      </c>
      <c r="H642" s="44">
        <v>1958</v>
      </c>
      <c r="I642" s="44">
        <v>1999</v>
      </c>
      <c r="J642" s="1"/>
      <c r="K642" s="1"/>
    </row>
    <row r="643" spans="1:11" ht="18.75" customHeight="1">
      <c r="A643" s="75" t="s">
        <v>53</v>
      </c>
      <c r="B643" s="41">
        <v>29</v>
      </c>
      <c r="C643" s="41">
        <v>1</v>
      </c>
      <c r="D643" s="42" t="s">
        <v>12</v>
      </c>
      <c r="E643" s="43" t="s">
        <v>13</v>
      </c>
      <c r="F643" s="40">
        <v>3</v>
      </c>
      <c r="G643" s="23">
        <v>0</v>
      </c>
      <c r="H643" s="44">
        <v>2902</v>
      </c>
      <c r="I643" s="44">
        <v>2941</v>
      </c>
      <c r="J643" s="1"/>
      <c r="K643" s="1"/>
    </row>
    <row r="644" spans="1:11" ht="18.75" customHeight="1">
      <c r="A644" s="75" t="s">
        <v>53</v>
      </c>
      <c r="B644" s="41">
        <v>30</v>
      </c>
      <c r="C644" s="41">
        <v>4</v>
      </c>
      <c r="D644" s="42" t="s">
        <v>14</v>
      </c>
      <c r="E644" s="43" t="s">
        <v>15</v>
      </c>
      <c r="F644" s="40">
        <v>2</v>
      </c>
      <c r="G644" s="23">
        <v>1</v>
      </c>
      <c r="H644" s="44">
        <v>2410</v>
      </c>
      <c r="I644" s="44">
        <v>2448</v>
      </c>
      <c r="J644" s="1">
        <v>2495</v>
      </c>
      <c r="K644" s="1"/>
    </row>
    <row r="645" spans="1:11" ht="18.75" customHeight="1">
      <c r="A645" s="75" t="s">
        <v>53</v>
      </c>
      <c r="B645" s="41">
        <v>29</v>
      </c>
      <c r="C645" s="41">
        <v>2</v>
      </c>
      <c r="D645" s="42" t="s">
        <v>12</v>
      </c>
      <c r="E645" s="43" t="s">
        <v>13</v>
      </c>
      <c r="F645" s="40">
        <v>2</v>
      </c>
      <c r="G645" s="23">
        <v>0</v>
      </c>
      <c r="H645" s="44">
        <v>2397</v>
      </c>
      <c r="I645" s="44">
        <v>2436</v>
      </c>
      <c r="J645" s="1"/>
      <c r="K645" s="1"/>
    </row>
    <row r="646" spans="1:11" ht="18.75" customHeight="1">
      <c r="A646" s="75" t="s">
        <v>53</v>
      </c>
      <c r="B646" s="41">
        <v>30</v>
      </c>
      <c r="C646" s="41">
        <v>5</v>
      </c>
      <c r="D646" s="42" t="s">
        <v>14</v>
      </c>
      <c r="E646" s="43" t="s">
        <v>15</v>
      </c>
      <c r="F646" s="40">
        <v>3</v>
      </c>
      <c r="G646" s="23">
        <v>1</v>
      </c>
      <c r="H646" s="44">
        <v>2166</v>
      </c>
      <c r="I646" s="44">
        <v>2204</v>
      </c>
      <c r="J646" s="1">
        <v>2210</v>
      </c>
      <c r="K646" s="1"/>
    </row>
    <row r="647" spans="1:11" ht="18.75" customHeight="1">
      <c r="A647" s="75" t="s">
        <v>53</v>
      </c>
      <c r="B647" s="48">
        <v>29.5</v>
      </c>
      <c r="C647" s="41">
        <v>1</v>
      </c>
      <c r="D647" s="42" t="s">
        <v>12</v>
      </c>
      <c r="E647" s="43" t="s">
        <v>13</v>
      </c>
      <c r="F647" s="40">
        <v>2</v>
      </c>
      <c r="G647" s="23">
        <v>0</v>
      </c>
      <c r="H647" s="44">
        <v>2576</v>
      </c>
      <c r="I647" s="44">
        <v>2614</v>
      </c>
      <c r="J647" s="1"/>
      <c r="K647" s="1"/>
    </row>
    <row r="648" spans="1:11" ht="18.75" customHeight="1">
      <c r="A648" s="75" t="s">
        <v>53</v>
      </c>
      <c r="B648" s="41">
        <v>30</v>
      </c>
      <c r="C648" s="41">
        <v>6</v>
      </c>
      <c r="D648" s="42" t="s">
        <v>12</v>
      </c>
      <c r="E648" s="43" t="s">
        <v>13</v>
      </c>
      <c r="F648" s="40">
        <v>2</v>
      </c>
      <c r="G648" s="23">
        <v>1</v>
      </c>
      <c r="H648" s="44">
        <v>2115</v>
      </c>
      <c r="I648" s="44">
        <v>2153</v>
      </c>
      <c r="J648" s="1"/>
      <c r="K648" s="1"/>
    </row>
    <row r="649" spans="1:11" ht="18.75" customHeight="1">
      <c r="A649" s="75" t="s">
        <v>53</v>
      </c>
      <c r="B649" s="41">
        <v>30</v>
      </c>
      <c r="C649" s="41">
        <v>7</v>
      </c>
      <c r="D649" s="42" t="s">
        <v>14</v>
      </c>
      <c r="E649" s="43" t="s">
        <v>15</v>
      </c>
      <c r="F649" s="40">
        <v>2</v>
      </c>
      <c r="G649" s="23">
        <v>1</v>
      </c>
      <c r="H649" s="44">
        <v>1676</v>
      </c>
      <c r="I649" s="44">
        <v>1713</v>
      </c>
      <c r="J649" s="1">
        <v>1724</v>
      </c>
      <c r="K649" s="1"/>
    </row>
    <row r="650" spans="1:11" ht="18.75" customHeight="1">
      <c r="A650" s="75" t="s">
        <v>53</v>
      </c>
      <c r="B650" s="41">
        <v>30</v>
      </c>
      <c r="C650" s="41">
        <v>8</v>
      </c>
      <c r="D650" s="42" t="s">
        <v>16</v>
      </c>
      <c r="E650" s="43" t="s">
        <v>15</v>
      </c>
      <c r="F650" s="40">
        <v>3</v>
      </c>
      <c r="G650" s="23">
        <v>1</v>
      </c>
      <c r="H650" s="44">
        <v>2147</v>
      </c>
      <c r="I650" s="44">
        <v>2185</v>
      </c>
      <c r="J650" s="1">
        <v>2225</v>
      </c>
      <c r="K650" s="1"/>
    </row>
    <row r="651" spans="1:11" ht="18.75" customHeight="1">
      <c r="A651" s="75" t="s">
        <v>53</v>
      </c>
      <c r="B651" s="41">
        <v>29</v>
      </c>
      <c r="C651" s="41">
        <v>3</v>
      </c>
      <c r="D651" s="42" t="s">
        <v>16</v>
      </c>
      <c r="E651" s="43" t="s">
        <v>15</v>
      </c>
      <c r="F651" s="40">
        <v>2</v>
      </c>
      <c r="G651" s="23">
        <v>0</v>
      </c>
      <c r="H651" s="44">
        <v>2263</v>
      </c>
      <c r="I651" s="44">
        <v>2302</v>
      </c>
      <c r="J651" s="1">
        <v>2323</v>
      </c>
      <c r="K651" s="1"/>
    </row>
    <row r="652" spans="1:11" ht="18.75" customHeight="1">
      <c r="A652" s="75" t="s">
        <v>53</v>
      </c>
      <c r="B652" s="41">
        <v>29</v>
      </c>
      <c r="C652" s="41">
        <v>4</v>
      </c>
      <c r="D652" s="42" t="s">
        <v>12</v>
      </c>
      <c r="E652" s="43" t="s">
        <v>13</v>
      </c>
      <c r="F652" s="40">
        <v>2</v>
      </c>
      <c r="G652" s="23">
        <v>0</v>
      </c>
      <c r="H652" s="44">
        <v>2636</v>
      </c>
      <c r="I652" s="44">
        <v>2675</v>
      </c>
      <c r="J652" s="1"/>
      <c r="K652" s="1"/>
    </row>
    <row r="653" spans="1:11" ht="18.75" customHeight="1">
      <c r="A653" s="75" t="s">
        <v>53</v>
      </c>
      <c r="B653" s="41">
        <v>29</v>
      </c>
      <c r="C653" s="41">
        <v>5</v>
      </c>
      <c r="D653" s="42" t="s">
        <v>12</v>
      </c>
      <c r="E653" s="43" t="s">
        <v>13</v>
      </c>
      <c r="F653" s="40">
        <v>2</v>
      </c>
      <c r="G653" s="23">
        <v>0</v>
      </c>
      <c r="H653" s="44">
        <v>2613</v>
      </c>
      <c r="I653" s="44">
        <v>2651</v>
      </c>
      <c r="J653" s="1"/>
      <c r="K653" s="1"/>
    </row>
    <row r="654" spans="1:11" ht="18.75" customHeight="1">
      <c r="A654" s="75" t="s">
        <v>53</v>
      </c>
      <c r="B654" s="41">
        <v>30</v>
      </c>
      <c r="C654" s="41">
        <v>9</v>
      </c>
      <c r="D654" s="42" t="s">
        <v>16</v>
      </c>
      <c r="E654" s="43" t="s">
        <v>15</v>
      </c>
      <c r="F654" s="40">
        <v>2</v>
      </c>
      <c r="G654" s="23">
        <v>1</v>
      </c>
      <c r="H654" s="44">
        <v>2460</v>
      </c>
      <c r="I654" s="44">
        <v>2499</v>
      </c>
      <c r="J654" s="1">
        <v>2535</v>
      </c>
      <c r="K654" s="1"/>
    </row>
    <row r="655" spans="1:11" ht="18.75" customHeight="1">
      <c r="A655" s="75" t="s">
        <v>53</v>
      </c>
      <c r="B655" s="41">
        <v>29</v>
      </c>
      <c r="C655" s="41">
        <v>6</v>
      </c>
      <c r="D655" s="42" t="s">
        <v>12</v>
      </c>
      <c r="E655" s="43" t="s">
        <v>13</v>
      </c>
      <c r="F655" s="40">
        <v>1</v>
      </c>
      <c r="G655" s="23">
        <v>0</v>
      </c>
      <c r="H655" s="44">
        <v>3754</v>
      </c>
      <c r="I655" s="44">
        <v>3793</v>
      </c>
      <c r="J655" s="1"/>
      <c r="K655" s="1"/>
    </row>
    <row r="656" spans="1:11" ht="18.75" customHeight="1">
      <c r="A656" s="75" t="s">
        <v>53</v>
      </c>
      <c r="B656" s="41">
        <v>30</v>
      </c>
      <c r="C656" s="41">
        <v>10</v>
      </c>
      <c r="D656" s="42" t="s">
        <v>16</v>
      </c>
      <c r="E656" s="43" t="s">
        <v>15</v>
      </c>
      <c r="F656" s="40">
        <v>2</v>
      </c>
      <c r="G656" s="23">
        <v>1</v>
      </c>
      <c r="H656" s="44">
        <v>2019</v>
      </c>
      <c r="I656" s="44">
        <v>2057</v>
      </c>
      <c r="J656" s="1">
        <v>2097</v>
      </c>
      <c r="K656" s="1"/>
    </row>
    <row r="657" spans="1:11" ht="18.75" customHeight="1">
      <c r="A657" s="75" t="s">
        <v>53</v>
      </c>
      <c r="B657" s="41">
        <v>30</v>
      </c>
      <c r="C657" s="41">
        <v>11</v>
      </c>
      <c r="D657" s="42" t="s">
        <v>12</v>
      </c>
      <c r="E657" s="43" t="s">
        <v>13</v>
      </c>
      <c r="F657" s="40">
        <v>1</v>
      </c>
      <c r="G657" s="23">
        <v>1</v>
      </c>
      <c r="H657" s="44">
        <v>3061</v>
      </c>
      <c r="I657" s="44">
        <v>3099</v>
      </c>
      <c r="J657" s="1"/>
      <c r="K657" s="1"/>
    </row>
    <row r="658" spans="1:11" ht="18.75" customHeight="1">
      <c r="A658" s="75" t="s">
        <v>53</v>
      </c>
      <c r="B658" s="41">
        <v>30</v>
      </c>
      <c r="C658" s="41">
        <v>12</v>
      </c>
      <c r="D658" s="42" t="s">
        <v>14</v>
      </c>
      <c r="E658" s="43" t="s">
        <v>15</v>
      </c>
      <c r="F658" s="40">
        <v>2</v>
      </c>
      <c r="G658" s="23">
        <v>1</v>
      </c>
      <c r="H658" s="44">
        <v>2333</v>
      </c>
      <c r="I658" s="44">
        <v>2371</v>
      </c>
      <c r="J658" s="1">
        <v>2369</v>
      </c>
      <c r="K658" s="1"/>
    </row>
    <row r="659" spans="1:11" ht="18.75" customHeight="1">
      <c r="A659" s="75" t="s">
        <v>54</v>
      </c>
      <c r="B659" s="41">
        <v>10</v>
      </c>
      <c r="C659" s="41">
        <v>1</v>
      </c>
      <c r="D659" s="42" t="s">
        <v>12</v>
      </c>
      <c r="E659" s="43" t="s">
        <v>13</v>
      </c>
      <c r="F659" s="40">
        <v>1</v>
      </c>
      <c r="G659" s="23">
        <v>0</v>
      </c>
      <c r="H659" s="44">
        <v>2587</v>
      </c>
      <c r="I659" s="44">
        <v>2692</v>
      </c>
      <c r="J659" s="1"/>
      <c r="K659" s="1"/>
    </row>
    <row r="660" spans="1:11" ht="18.75" customHeight="1">
      <c r="A660" s="75" t="s">
        <v>54</v>
      </c>
      <c r="B660" s="41">
        <v>20</v>
      </c>
      <c r="C660" s="41">
        <v>1</v>
      </c>
      <c r="D660" s="42" t="s">
        <v>12</v>
      </c>
      <c r="E660" s="43" t="s">
        <v>13</v>
      </c>
      <c r="F660" s="40">
        <v>1</v>
      </c>
      <c r="G660" s="23">
        <v>0</v>
      </c>
      <c r="H660" s="44">
        <v>1721</v>
      </c>
      <c r="I660" s="44">
        <v>1776</v>
      </c>
      <c r="J660" s="1"/>
      <c r="K660" s="1"/>
    </row>
    <row r="661" spans="1:11" ht="18.75" customHeight="1">
      <c r="A661" s="75" t="s">
        <v>54</v>
      </c>
      <c r="B661" s="41">
        <v>30</v>
      </c>
      <c r="C661" s="41">
        <v>1</v>
      </c>
      <c r="D661" s="42" t="s">
        <v>16</v>
      </c>
      <c r="E661" s="43" t="s">
        <v>15</v>
      </c>
      <c r="F661" s="40">
        <v>2</v>
      </c>
      <c r="G661" s="23">
        <v>1</v>
      </c>
      <c r="H661" s="44">
        <v>3806</v>
      </c>
      <c r="I661" s="44">
        <v>3844</v>
      </c>
      <c r="J661" s="1">
        <v>3851</v>
      </c>
      <c r="K661" s="1"/>
    </row>
    <row r="662" spans="1:11" ht="18.75" customHeight="1">
      <c r="A662" s="75" t="s">
        <v>54</v>
      </c>
      <c r="B662" s="41">
        <v>30</v>
      </c>
      <c r="C662" s="41">
        <v>2</v>
      </c>
      <c r="D662" s="42" t="s">
        <v>14</v>
      </c>
      <c r="E662" s="43" t="s">
        <v>15</v>
      </c>
      <c r="F662" s="40">
        <v>5</v>
      </c>
      <c r="G662" s="23">
        <v>1</v>
      </c>
      <c r="H662" s="44">
        <v>4046</v>
      </c>
      <c r="I662" s="44">
        <v>4083</v>
      </c>
      <c r="J662" s="1">
        <v>4072</v>
      </c>
      <c r="K662" s="1"/>
    </row>
    <row r="663" spans="1:11" ht="18.75" customHeight="1">
      <c r="A663" s="75" t="s">
        <v>54</v>
      </c>
      <c r="B663" s="41">
        <v>30</v>
      </c>
      <c r="C663" s="41">
        <v>3</v>
      </c>
      <c r="D663" s="42" t="s">
        <v>12</v>
      </c>
      <c r="E663" s="43" t="s">
        <v>13</v>
      </c>
      <c r="F663" s="40">
        <v>3</v>
      </c>
      <c r="G663" s="23">
        <v>1</v>
      </c>
      <c r="H663" s="44">
        <v>3745</v>
      </c>
      <c r="I663" s="44">
        <v>3782</v>
      </c>
      <c r="J663" s="1"/>
      <c r="K663" s="1"/>
    </row>
    <row r="664" spans="1:11" ht="18.75" customHeight="1">
      <c r="A664" s="75" t="s">
        <v>54</v>
      </c>
      <c r="B664" s="41">
        <v>30</v>
      </c>
      <c r="C664" s="41">
        <v>4</v>
      </c>
      <c r="D664" s="42" t="s">
        <v>14</v>
      </c>
      <c r="E664" s="43" t="s">
        <v>15</v>
      </c>
      <c r="F664" s="40">
        <v>5</v>
      </c>
      <c r="G664" s="23">
        <v>1</v>
      </c>
      <c r="H664" s="44">
        <v>4530</v>
      </c>
      <c r="I664" s="44">
        <v>4567</v>
      </c>
      <c r="J664" s="1">
        <v>4553</v>
      </c>
      <c r="K664" s="1"/>
    </row>
    <row r="665" spans="1:11" ht="18.75" customHeight="1">
      <c r="A665" s="75" t="s">
        <v>54</v>
      </c>
      <c r="B665" s="41">
        <v>30</v>
      </c>
      <c r="C665" s="41">
        <v>5</v>
      </c>
      <c r="D665" s="42" t="s">
        <v>12</v>
      </c>
      <c r="E665" s="43" t="s">
        <v>13</v>
      </c>
      <c r="F665" s="40">
        <v>2</v>
      </c>
      <c r="G665" s="23">
        <v>1</v>
      </c>
      <c r="H665" s="44">
        <v>3619</v>
      </c>
      <c r="I665" s="44">
        <v>3656</v>
      </c>
      <c r="J665" s="1"/>
      <c r="K665" s="1"/>
    </row>
    <row r="666" spans="1:11" ht="18.75" customHeight="1">
      <c r="A666" s="75" t="s">
        <v>54</v>
      </c>
      <c r="B666" s="41">
        <v>30</v>
      </c>
      <c r="C666" s="41">
        <v>6</v>
      </c>
      <c r="D666" s="42" t="s">
        <v>16</v>
      </c>
      <c r="E666" s="43" t="s">
        <v>15</v>
      </c>
      <c r="F666" s="40">
        <v>2</v>
      </c>
      <c r="G666" s="23">
        <v>1</v>
      </c>
      <c r="H666" s="44">
        <v>4717</v>
      </c>
      <c r="I666" s="44">
        <v>4754</v>
      </c>
      <c r="J666" s="1">
        <v>4746</v>
      </c>
      <c r="K666" s="1"/>
    </row>
    <row r="667" spans="1:11" ht="18.75" customHeight="1">
      <c r="A667" s="75" t="s">
        <v>54</v>
      </c>
      <c r="B667" s="41">
        <v>30</v>
      </c>
      <c r="C667" s="41">
        <v>7</v>
      </c>
      <c r="D667" s="42" t="s">
        <v>16</v>
      </c>
      <c r="E667" s="43" t="s">
        <v>15</v>
      </c>
      <c r="F667" s="40">
        <v>2</v>
      </c>
      <c r="G667" s="23">
        <v>1</v>
      </c>
      <c r="H667" s="44">
        <v>3993</v>
      </c>
      <c r="I667" s="44">
        <v>4031</v>
      </c>
      <c r="J667" s="1">
        <v>4041</v>
      </c>
      <c r="K667" s="1"/>
    </row>
    <row r="668" spans="1:11" ht="18.75" customHeight="1">
      <c r="A668" s="75" t="s">
        <v>54</v>
      </c>
      <c r="B668" s="41">
        <v>29</v>
      </c>
      <c r="C668" s="41">
        <v>1</v>
      </c>
      <c r="D668" s="42" t="s">
        <v>12</v>
      </c>
      <c r="E668" s="43" t="s">
        <v>13</v>
      </c>
      <c r="F668" s="40">
        <v>2</v>
      </c>
      <c r="G668" s="23">
        <v>0</v>
      </c>
      <c r="H668" s="44">
        <v>2725</v>
      </c>
      <c r="I668" s="44">
        <v>2762</v>
      </c>
      <c r="J668" s="1"/>
      <c r="K668" s="1"/>
    </row>
    <row r="669" spans="1:11" ht="18.75" customHeight="1">
      <c r="A669" s="75" t="s">
        <v>54</v>
      </c>
      <c r="B669" s="41">
        <v>32</v>
      </c>
      <c r="C669" s="41">
        <v>1</v>
      </c>
      <c r="D669" s="42" t="s">
        <v>14</v>
      </c>
      <c r="E669" s="43" t="s">
        <v>15</v>
      </c>
      <c r="F669" s="40">
        <v>2</v>
      </c>
      <c r="G669" s="23">
        <v>0</v>
      </c>
      <c r="H669" s="44">
        <v>2802</v>
      </c>
      <c r="I669" s="44">
        <v>2837</v>
      </c>
      <c r="J669" s="1">
        <v>2825</v>
      </c>
      <c r="K669" s="1"/>
    </row>
    <row r="670" spans="1:11" ht="18.75" customHeight="1">
      <c r="A670" s="75" t="s">
        <v>54</v>
      </c>
      <c r="B670" s="41">
        <v>31</v>
      </c>
      <c r="C670" s="41">
        <v>1</v>
      </c>
      <c r="D670" s="42" t="s">
        <v>14</v>
      </c>
      <c r="E670" s="43" t="s">
        <v>15</v>
      </c>
      <c r="F670" s="40">
        <v>2</v>
      </c>
      <c r="G670" s="23">
        <v>0</v>
      </c>
      <c r="H670" s="44">
        <v>2304</v>
      </c>
      <c r="I670" s="44">
        <v>2340</v>
      </c>
      <c r="J670" s="1"/>
      <c r="K670" s="59"/>
    </row>
    <row r="671" spans="1:11" ht="18.75" customHeight="1">
      <c r="A671" s="75" t="s">
        <v>54</v>
      </c>
      <c r="B671" s="41">
        <v>32</v>
      </c>
      <c r="C671" s="41">
        <v>2</v>
      </c>
      <c r="D671" s="47" t="s">
        <v>12</v>
      </c>
      <c r="E671" s="43" t="s">
        <v>13</v>
      </c>
      <c r="F671" s="40">
        <v>2</v>
      </c>
      <c r="G671" s="23">
        <v>0</v>
      </c>
      <c r="H671" s="44">
        <v>3184</v>
      </c>
      <c r="I671" s="44">
        <v>3220</v>
      </c>
      <c r="J671" s="1"/>
      <c r="K671" s="1"/>
    </row>
    <row r="672" spans="1:11" ht="18.75" customHeight="1">
      <c r="A672" s="75" t="s">
        <v>54</v>
      </c>
      <c r="B672" s="41">
        <v>31</v>
      </c>
      <c r="C672" s="41">
        <v>2</v>
      </c>
      <c r="D672" s="47" t="s">
        <v>14</v>
      </c>
      <c r="E672" s="43" t="s">
        <v>15</v>
      </c>
      <c r="F672" s="40">
        <v>1</v>
      </c>
      <c r="G672" s="44">
        <v>0</v>
      </c>
      <c r="H672" s="44">
        <v>3998</v>
      </c>
      <c r="I672" s="44">
        <v>4038</v>
      </c>
      <c r="J672" s="1"/>
      <c r="K672" s="60"/>
    </row>
    <row r="673" spans="1:11" ht="18.75" customHeight="1">
      <c r="A673" s="75" t="s">
        <v>55</v>
      </c>
      <c r="B673" s="41">
        <v>10</v>
      </c>
      <c r="C673" s="41">
        <v>1</v>
      </c>
      <c r="D673" s="39" t="s">
        <v>12</v>
      </c>
      <c r="E673" s="43" t="s">
        <v>13</v>
      </c>
      <c r="F673" s="40">
        <v>1</v>
      </c>
      <c r="G673" s="44">
        <v>0</v>
      </c>
      <c r="H673" s="44">
        <v>1753</v>
      </c>
      <c r="I673" s="44">
        <v>1858</v>
      </c>
      <c r="J673" s="1"/>
      <c r="K673" s="1"/>
    </row>
    <row r="674" spans="1:11" ht="18.75" customHeight="1">
      <c r="A674" s="75" t="s">
        <v>55</v>
      </c>
      <c r="B674" s="41">
        <v>40</v>
      </c>
      <c r="C674" s="41">
        <v>1</v>
      </c>
      <c r="D674" s="39" t="s">
        <v>12</v>
      </c>
      <c r="E674" s="43" t="s">
        <v>13</v>
      </c>
      <c r="F674" s="40">
        <v>3</v>
      </c>
      <c r="G674" s="44">
        <v>0</v>
      </c>
      <c r="H674" s="44">
        <v>2247</v>
      </c>
      <c r="I674" s="44">
        <v>2277</v>
      </c>
      <c r="J674" s="1"/>
      <c r="K674" s="1"/>
    </row>
    <row r="675" spans="1:11" ht="18.75" customHeight="1">
      <c r="A675" s="75" t="s">
        <v>55</v>
      </c>
      <c r="B675" s="41">
        <v>50</v>
      </c>
      <c r="C675" s="41">
        <v>1</v>
      </c>
      <c r="D675" s="39" t="s">
        <v>14</v>
      </c>
      <c r="E675" s="43" t="s">
        <v>15</v>
      </c>
      <c r="F675" s="40">
        <v>4</v>
      </c>
      <c r="G675" s="44">
        <v>0</v>
      </c>
      <c r="H675" s="44">
        <v>1906</v>
      </c>
      <c r="I675" s="44">
        <v>1930</v>
      </c>
      <c r="J675" s="1">
        <v>1933</v>
      </c>
      <c r="K675" s="1"/>
    </row>
    <row r="676" spans="1:11" ht="18.75" customHeight="1">
      <c r="A676" s="75" t="s">
        <v>55</v>
      </c>
      <c r="B676" s="41">
        <v>50</v>
      </c>
      <c r="C676" s="41">
        <v>2</v>
      </c>
      <c r="D676" s="39" t="s">
        <v>16</v>
      </c>
      <c r="E676" s="43" t="s">
        <v>15</v>
      </c>
      <c r="F676" s="40">
        <v>6</v>
      </c>
      <c r="G676" s="44">
        <v>0</v>
      </c>
      <c r="H676" s="44">
        <v>2596</v>
      </c>
      <c r="I676" s="44">
        <v>2620</v>
      </c>
      <c r="J676" s="1">
        <v>2677</v>
      </c>
      <c r="K676" s="1"/>
    </row>
    <row r="677" spans="1:11" ht="18.75" customHeight="1">
      <c r="A677" s="75" t="s">
        <v>55</v>
      </c>
      <c r="B677" s="41">
        <v>50</v>
      </c>
      <c r="C677" s="41">
        <v>3</v>
      </c>
      <c r="D677" s="39" t="s">
        <v>14</v>
      </c>
      <c r="E677" s="43" t="s">
        <v>15</v>
      </c>
      <c r="F677" s="40">
        <v>7</v>
      </c>
      <c r="G677" s="44">
        <v>0</v>
      </c>
      <c r="H677" s="44">
        <v>2430</v>
      </c>
      <c r="I677" s="44">
        <v>2455</v>
      </c>
      <c r="J677" s="1">
        <v>2457</v>
      </c>
      <c r="K677" s="1"/>
    </row>
    <row r="678" spans="1:11" ht="18.75" customHeight="1">
      <c r="A678" s="75" t="s">
        <v>55</v>
      </c>
      <c r="B678" s="41">
        <v>45</v>
      </c>
      <c r="C678" s="41">
        <v>1</v>
      </c>
      <c r="D678" s="39" t="s">
        <v>16</v>
      </c>
      <c r="E678" s="43" t="s">
        <v>15</v>
      </c>
      <c r="F678" s="40">
        <v>8</v>
      </c>
      <c r="G678" s="44">
        <v>1</v>
      </c>
      <c r="H678" s="44">
        <v>3528</v>
      </c>
      <c r="I678" s="44">
        <v>3554</v>
      </c>
      <c r="J678" s="1">
        <v>3593</v>
      </c>
      <c r="K678" s="1"/>
    </row>
    <row r="679" spans="1:11" ht="18.75" customHeight="1">
      <c r="A679" s="75" t="s">
        <v>55</v>
      </c>
      <c r="B679" s="41">
        <v>45</v>
      </c>
      <c r="C679" s="41">
        <v>2</v>
      </c>
      <c r="D679" s="39" t="s">
        <v>12</v>
      </c>
      <c r="E679" s="43" t="s">
        <v>13</v>
      </c>
      <c r="F679" s="40">
        <v>8</v>
      </c>
      <c r="G679" s="44">
        <v>1</v>
      </c>
      <c r="H679" s="44">
        <v>2305</v>
      </c>
      <c r="I679" s="44">
        <v>2333</v>
      </c>
      <c r="J679" s="1"/>
      <c r="K679" s="1"/>
    </row>
    <row r="680" spans="1:11" ht="18.75" customHeight="1">
      <c r="A680" s="75" t="s">
        <v>55</v>
      </c>
      <c r="B680" s="41">
        <v>45</v>
      </c>
      <c r="C680" s="41">
        <v>3</v>
      </c>
      <c r="D680" s="39" t="s">
        <v>16</v>
      </c>
      <c r="E680" s="43" t="s">
        <v>15</v>
      </c>
      <c r="F680" s="40">
        <v>9</v>
      </c>
      <c r="G680" s="44">
        <v>1</v>
      </c>
      <c r="H680" s="44">
        <v>2392</v>
      </c>
      <c r="I680" s="44">
        <v>2415</v>
      </c>
      <c r="J680" s="1">
        <v>2434</v>
      </c>
      <c r="K680" s="1"/>
    </row>
    <row r="681" spans="1:11" ht="18.75" customHeight="1">
      <c r="A681" s="75" t="s">
        <v>55</v>
      </c>
      <c r="B681" s="41">
        <v>45</v>
      </c>
      <c r="C681" s="41">
        <v>4</v>
      </c>
      <c r="D681" s="39" t="s">
        <v>12</v>
      </c>
      <c r="E681" s="43" t="s">
        <v>13</v>
      </c>
      <c r="F681" s="40">
        <v>7</v>
      </c>
      <c r="G681" s="44">
        <v>1</v>
      </c>
      <c r="H681" s="44">
        <v>3771</v>
      </c>
      <c r="I681" s="44">
        <v>3799</v>
      </c>
      <c r="J681" s="1"/>
      <c r="K681" s="1"/>
    </row>
    <row r="682" spans="1:11" ht="18.75" customHeight="1">
      <c r="A682" s="75" t="s">
        <v>55</v>
      </c>
      <c r="B682" s="41">
        <v>45</v>
      </c>
      <c r="C682" s="41">
        <v>5</v>
      </c>
      <c r="D682" s="39" t="s">
        <v>12</v>
      </c>
      <c r="E682" s="43" t="s">
        <v>13</v>
      </c>
      <c r="F682" s="40">
        <v>7</v>
      </c>
      <c r="G682" s="44">
        <v>1</v>
      </c>
      <c r="H682" s="44">
        <v>1986</v>
      </c>
      <c r="I682" s="44">
        <v>2013</v>
      </c>
      <c r="J682" s="1"/>
      <c r="K682" s="1"/>
    </row>
    <row r="683" spans="1:11" ht="18.75" customHeight="1">
      <c r="A683" s="75" t="s">
        <v>55</v>
      </c>
      <c r="B683" s="41">
        <v>45</v>
      </c>
      <c r="C683" s="41">
        <v>6</v>
      </c>
      <c r="D683" s="61" t="s">
        <v>14</v>
      </c>
      <c r="E683" s="62" t="s">
        <v>15</v>
      </c>
      <c r="F683" s="65">
        <v>8</v>
      </c>
      <c r="G683" s="63">
        <v>1</v>
      </c>
      <c r="H683" s="63">
        <v>2128</v>
      </c>
      <c r="I683" s="63">
        <v>2156</v>
      </c>
      <c r="J683" s="1">
        <v>2264</v>
      </c>
      <c r="K683" s="1"/>
    </row>
    <row r="684" spans="1:11" ht="18.75" customHeight="1">
      <c r="A684" s="76" t="s">
        <v>55</v>
      </c>
      <c r="B684" s="58">
        <v>45</v>
      </c>
      <c r="C684" s="58">
        <v>7</v>
      </c>
      <c r="D684" s="61" t="s">
        <v>16</v>
      </c>
      <c r="E684" s="62" t="s">
        <v>15</v>
      </c>
      <c r="F684" s="65">
        <v>8</v>
      </c>
      <c r="G684" s="63">
        <v>0</v>
      </c>
      <c r="H684" s="63">
        <v>2231</v>
      </c>
      <c r="I684" s="63">
        <v>2256</v>
      </c>
      <c r="J684" s="1">
        <v>2263</v>
      </c>
      <c r="K684" s="1"/>
    </row>
    <row r="685" spans="1:11" ht="18.75" customHeight="1">
      <c r="A685" s="76" t="s">
        <v>55</v>
      </c>
      <c r="B685" s="58">
        <v>45</v>
      </c>
      <c r="C685" s="58">
        <v>8</v>
      </c>
      <c r="D685" s="61" t="s">
        <v>16</v>
      </c>
      <c r="E685" s="62" t="s">
        <v>15</v>
      </c>
      <c r="F685" s="65">
        <v>8</v>
      </c>
      <c r="G685" s="63">
        <v>0</v>
      </c>
      <c r="H685" s="63">
        <v>3036</v>
      </c>
      <c r="I685" s="63">
        <v>3062</v>
      </c>
      <c r="J685" s="1">
        <v>3120</v>
      </c>
      <c r="K685" s="1"/>
    </row>
    <row r="686" spans="1:11" ht="18.75" customHeight="1">
      <c r="A686" s="75" t="s">
        <v>55</v>
      </c>
      <c r="B686" s="41">
        <v>45</v>
      </c>
      <c r="C686" s="41">
        <v>9</v>
      </c>
      <c r="D686" s="61" t="s">
        <v>16</v>
      </c>
      <c r="E686" s="62" t="s">
        <v>15</v>
      </c>
      <c r="F686" s="65">
        <v>8</v>
      </c>
      <c r="G686" s="63">
        <v>1</v>
      </c>
      <c r="H686" s="63">
        <v>2786</v>
      </c>
      <c r="I686" s="63">
        <v>2813</v>
      </c>
      <c r="J686">
        <v>2827</v>
      </c>
    </row>
    <row r="687" spans="1:11" ht="18.75" customHeight="1">
      <c r="A687" s="75" t="s">
        <v>55</v>
      </c>
      <c r="B687" s="41">
        <v>45</v>
      </c>
      <c r="C687" s="41">
        <v>10</v>
      </c>
      <c r="D687" s="39" t="s">
        <v>14</v>
      </c>
      <c r="E687" s="43" t="s">
        <v>15</v>
      </c>
      <c r="F687" s="40">
        <v>9</v>
      </c>
      <c r="G687" s="44">
        <v>1</v>
      </c>
      <c r="H687" s="44">
        <v>3221</v>
      </c>
      <c r="I687" s="44">
        <v>3248</v>
      </c>
      <c r="J687">
        <v>3265</v>
      </c>
    </row>
    <row r="688" spans="1:11" ht="18.75" customHeight="1">
      <c r="A688" s="75" t="s">
        <v>55</v>
      </c>
      <c r="B688" s="41">
        <v>45</v>
      </c>
      <c r="C688" s="41">
        <v>11</v>
      </c>
      <c r="D688" s="39" t="s">
        <v>14</v>
      </c>
      <c r="E688" s="43" t="s">
        <v>15</v>
      </c>
      <c r="F688" s="40">
        <v>9</v>
      </c>
      <c r="G688" s="44">
        <v>1</v>
      </c>
      <c r="H688" s="44">
        <v>3858</v>
      </c>
      <c r="I688" s="44">
        <v>3886</v>
      </c>
      <c r="J688">
        <v>3883</v>
      </c>
    </row>
    <row r="689" spans="1:10" ht="18.75" customHeight="1">
      <c r="A689" s="75" t="s">
        <v>55</v>
      </c>
      <c r="B689" s="41">
        <v>20</v>
      </c>
      <c r="C689" s="41">
        <v>1</v>
      </c>
      <c r="D689" s="39" t="s">
        <v>14</v>
      </c>
      <c r="E689" s="43" t="s">
        <v>15</v>
      </c>
      <c r="F689" s="40">
        <v>8</v>
      </c>
      <c r="G689" s="44">
        <v>0</v>
      </c>
      <c r="H689" s="44">
        <v>2160</v>
      </c>
      <c r="I689" s="44">
        <v>2212</v>
      </c>
      <c r="J689">
        <v>2190</v>
      </c>
    </row>
    <row r="690" spans="1:10" ht="18.75" customHeight="1">
      <c r="A690" s="75" t="s">
        <v>55</v>
      </c>
      <c r="B690" s="41">
        <v>20</v>
      </c>
      <c r="C690" s="41">
        <v>2</v>
      </c>
      <c r="D690" s="39" t="s">
        <v>14</v>
      </c>
      <c r="E690" s="43" t="s">
        <v>15</v>
      </c>
      <c r="F690" s="40">
        <v>8</v>
      </c>
      <c r="G690" s="44">
        <v>0</v>
      </c>
      <c r="H690" s="44">
        <v>2766</v>
      </c>
      <c r="I690" s="44">
        <v>2819</v>
      </c>
      <c r="J690">
        <v>2803</v>
      </c>
    </row>
    <row r="691" spans="1:10" ht="18.75" customHeight="1">
      <c r="A691" s="75" t="s">
        <v>55</v>
      </c>
      <c r="B691" s="41">
        <v>15</v>
      </c>
      <c r="C691" s="41">
        <v>1</v>
      </c>
      <c r="D691" s="39" t="s">
        <v>14</v>
      </c>
      <c r="E691" s="43" t="s">
        <v>15</v>
      </c>
      <c r="F691" s="40">
        <v>7</v>
      </c>
      <c r="G691" s="44">
        <v>0</v>
      </c>
      <c r="H691" s="44">
        <v>4557</v>
      </c>
      <c r="I691" s="44">
        <v>4625</v>
      </c>
      <c r="J691">
        <v>4600</v>
      </c>
    </row>
    <row r="692" spans="1:10" ht="18.75" customHeight="1">
      <c r="A692" s="75" t="s">
        <v>55</v>
      </c>
      <c r="B692" s="41">
        <v>15</v>
      </c>
      <c r="C692" s="41">
        <v>2</v>
      </c>
      <c r="D692" s="39" t="s">
        <v>13</v>
      </c>
      <c r="E692" s="43" t="s">
        <v>13</v>
      </c>
      <c r="F692" s="40">
        <v>5</v>
      </c>
      <c r="G692" s="44">
        <v>0</v>
      </c>
      <c r="H692" s="44">
        <v>2791</v>
      </c>
      <c r="I692" s="44">
        <v>2863</v>
      </c>
    </row>
    <row r="693" spans="1:10" ht="18.75" customHeight="1">
      <c r="A693" s="75" t="s">
        <v>55</v>
      </c>
      <c r="B693" s="41">
        <v>20</v>
      </c>
      <c r="C693" s="41">
        <v>3</v>
      </c>
      <c r="D693" s="39" t="s">
        <v>13</v>
      </c>
      <c r="E693" s="43" t="s">
        <v>13</v>
      </c>
      <c r="F693" s="40">
        <v>4</v>
      </c>
      <c r="G693" s="44">
        <v>0</v>
      </c>
      <c r="H693" s="44">
        <v>2784</v>
      </c>
      <c r="I693" s="44">
        <v>2840</v>
      </c>
    </row>
    <row r="694" spans="1:10" ht="18.75" customHeight="1">
      <c r="A694" s="75" t="s">
        <v>55</v>
      </c>
      <c r="B694" s="41">
        <v>30</v>
      </c>
      <c r="C694" s="41">
        <v>1</v>
      </c>
      <c r="D694" s="39" t="s">
        <v>13</v>
      </c>
      <c r="E694" s="43" t="s">
        <v>13</v>
      </c>
      <c r="F694" s="40">
        <v>3</v>
      </c>
      <c r="G694" s="44">
        <v>0</v>
      </c>
      <c r="H694" s="44">
        <v>3355</v>
      </c>
      <c r="I694" s="44">
        <v>3391</v>
      </c>
    </row>
    <row r="695" spans="1:10" ht="18.75" customHeight="1">
      <c r="A695" s="75" t="s">
        <v>56</v>
      </c>
      <c r="B695" s="41">
        <v>10</v>
      </c>
      <c r="C695" s="41">
        <v>1</v>
      </c>
      <c r="D695" s="39" t="s">
        <v>13</v>
      </c>
      <c r="E695" s="43" t="s">
        <v>13</v>
      </c>
      <c r="F695" s="44">
        <v>2</v>
      </c>
      <c r="G695" s="44">
        <v>0</v>
      </c>
      <c r="H695" s="44">
        <v>1977</v>
      </c>
      <c r="I695" s="44">
        <v>2082</v>
      </c>
    </row>
    <row r="696" spans="1:10" ht="18.75" customHeight="1">
      <c r="A696" s="75" t="s">
        <v>56</v>
      </c>
      <c r="B696" s="41">
        <v>150</v>
      </c>
      <c r="C696" s="41">
        <v>1</v>
      </c>
      <c r="D696" s="39" t="s">
        <v>14</v>
      </c>
      <c r="E696" s="43" t="s">
        <v>15</v>
      </c>
      <c r="F696" s="44">
        <v>8</v>
      </c>
      <c r="G696" s="44">
        <v>0</v>
      </c>
      <c r="H696" s="44">
        <v>2202</v>
      </c>
      <c r="I696" s="44">
        <v>2215</v>
      </c>
      <c r="J696">
        <v>2307</v>
      </c>
    </row>
    <row r="697" spans="1:10" ht="18.75" customHeight="1">
      <c r="A697" s="75" t="s">
        <v>56</v>
      </c>
      <c r="B697" s="41">
        <v>150</v>
      </c>
      <c r="C697" s="41">
        <v>2</v>
      </c>
      <c r="D697" s="39" t="s">
        <v>14</v>
      </c>
      <c r="E697" s="43" t="s">
        <v>15</v>
      </c>
      <c r="F697" s="44">
        <v>9</v>
      </c>
      <c r="G697" s="44">
        <v>0</v>
      </c>
      <c r="H697" s="44">
        <v>3166</v>
      </c>
      <c r="I697" s="44">
        <v>3178</v>
      </c>
      <c r="J697">
        <v>3191</v>
      </c>
    </row>
    <row r="698" spans="1:10" ht="18.75" customHeight="1">
      <c r="A698" s="75" t="s">
        <v>56</v>
      </c>
      <c r="B698" s="41">
        <v>100</v>
      </c>
      <c r="C698" s="41">
        <v>1</v>
      </c>
      <c r="D698" s="39" t="s">
        <v>12</v>
      </c>
      <c r="E698" s="43" t="s">
        <v>13</v>
      </c>
      <c r="F698" s="44">
        <v>7</v>
      </c>
      <c r="G698" s="44">
        <v>0</v>
      </c>
      <c r="H698" s="44">
        <v>3026</v>
      </c>
      <c r="I698" s="44">
        <v>3041</v>
      </c>
    </row>
    <row r="699" spans="1:10" ht="18.75" customHeight="1">
      <c r="A699" s="75" t="s">
        <v>56</v>
      </c>
      <c r="B699" s="41">
        <v>100</v>
      </c>
      <c r="C699" s="41">
        <v>2</v>
      </c>
      <c r="D699" s="39" t="s">
        <v>12</v>
      </c>
      <c r="E699" s="43" t="s">
        <v>13</v>
      </c>
      <c r="F699" s="44">
        <v>8</v>
      </c>
      <c r="G699" s="44">
        <v>0</v>
      </c>
      <c r="H699" s="44">
        <v>3857</v>
      </c>
      <c r="I699" s="44">
        <v>3872</v>
      </c>
    </row>
    <row r="700" spans="1:10" ht="18.75" customHeight="1">
      <c r="A700" s="75" t="s">
        <v>56</v>
      </c>
      <c r="B700" s="41">
        <v>120</v>
      </c>
      <c r="C700" s="41">
        <v>1</v>
      </c>
      <c r="D700" s="39" t="s">
        <v>12</v>
      </c>
      <c r="E700" s="43" t="s">
        <v>13</v>
      </c>
      <c r="F700" s="44">
        <v>8</v>
      </c>
      <c r="G700" s="44">
        <v>0</v>
      </c>
      <c r="H700" s="44">
        <v>1893</v>
      </c>
      <c r="I700" s="44">
        <v>1907</v>
      </c>
    </row>
    <row r="701" spans="1:10" ht="18.75" customHeight="1">
      <c r="A701" s="75" t="s">
        <v>56</v>
      </c>
      <c r="B701" s="41">
        <v>130</v>
      </c>
      <c r="C701" s="41">
        <v>1</v>
      </c>
      <c r="D701" s="39" t="s">
        <v>16</v>
      </c>
      <c r="E701" s="43" t="s">
        <v>15</v>
      </c>
      <c r="F701" s="44">
        <v>9</v>
      </c>
      <c r="G701" s="44">
        <v>1</v>
      </c>
      <c r="H701" s="44">
        <v>2370</v>
      </c>
      <c r="I701" s="44">
        <v>2383</v>
      </c>
      <c r="J701">
        <v>2415</v>
      </c>
    </row>
    <row r="702" spans="1:10" ht="18.75" customHeight="1">
      <c r="A702" s="75" t="s">
        <v>56</v>
      </c>
      <c r="B702" s="41">
        <v>130</v>
      </c>
      <c r="C702" s="41">
        <v>2</v>
      </c>
      <c r="D702" s="39" t="s">
        <v>12</v>
      </c>
      <c r="E702" s="43" t="s">
        <v>13</v>
      </c>
      <c r="F702" s="44">
        <v>8</v>
      </c>
      <c r="G702" s="44">
        <v>1</v>
      </c>
      <c r="H702" s="44">
        <v>3193</v>
      </c>
      <c r="I702" s="44">
        <v>3207</v>
      </c>
    </row>
    <row r="703" spans="1:10" ht="18.75" customHeight="1">
      <c r="A703" s="75" t="s">
        <v>56</v>
      </c>
      <c r="B703" s="41">
        <v>130</v>
      </c>
      <c r="C703" s="41">
        <v>3</v>
      </c>
      <c r="D703" s="39" t="s">
        <v>14</v>
      </c>
      <c r="E703" s="43" t="s">
        <v>15</v>
      </c>
      <c r="F703" s="44">
        <v>9</v>
      </c>
      <c r="G703" s="44">
        <v>1</v>
      </c>
      <c r="H703" s="44">
        <v>2733</v>
      </c>
      <c r="I703" s="44">
        <v>2746</v>
      </c>
      <c r="J703">
        <v>2784</v>
      </c>
    </row>
    <row r="704" spans="1:10" ht="18.75" customHeight="1">
      <c r="A704" s="75" t="s">
        <v>56</v>
      </c>
      <c r="B704" s="41">
        <v>130</v>
      </c>
      <c r="C704" s="41">
        <v>4</v>
      </c>
      <c r="D704" s="39" t="s">
        <v>12</v>
      </c>
      <c r="E704" s="43" t="s">
        <v>13</v>
      </c>
      <c r="F704" s="44">
        <v>8</v>
      </c>
      <c r="G704" s="44">
        <v>1</v>
      </c>
      <c r="H704" s="44">
        <v>2917</v>
      </c>
      <c r="I704" s="44">
        <v>2931</v>
      </c>
    </row>
    <row r="705" spans="1:11" ht="18.75" customHeight="1">
      <c r="A705" s="75" t="s">
        <v>56</v>
      </c>
      <c r="B705" s="41">
        <v>130</v>
      </c>
      <c r="C705" s="41">
        <v>5</v>
      </c>
      <c r="D705" s="39" t="s">
        <v>12</v>
      </c>
      <c r="E705" s="43" t="s">
        <v>13</v>
      </c>
      <c r="F705" s="44">
        <v>7</v>
      </c>
      <c r="G705" s="44">
        <v>1</v>
      </c>
      <c r="H705" s="44">
        <v>3134</v>
      </c>
      <c r="I705" s="44">
        <v>3148</v>
      </c>
    </row>
    <row r="706" spans="1:11" ht="18.75" customHeight="1">
      <c r="A706" s="75" t="s">
        <v>56</v>
      </c>
      <c r="B706" s="41">
        <v>30</v>
      </c>
      <c r="C706" s="41">
        <v>1</v>
      </c>
      <c r="D706" s="39" t="s">
        <v>13</v>
      </c>
      <c r="E706" s="43" t="s">
        <v>13</v>
      </c>
      <c r="F706" s="44">
        <v>4</v>
      </c>
      <c r="G706" s="44">
        <v>0</v>
      </c>
      <c r="H706" s="44">
        <v>3121</v>
      </c>
      <c r="I706" s="44">
        <v>3158</v>
      </c>
    </row>
    <row r="707" spans="1:11" ht="18.75" customHeight="1">
      <c r="A707" s="75" t="s">
        <v>56</v>
      </c>
      <c r="B707" s="41">
        <v>50</v>
      </c>
      <c r="C707" s="41">
        <v>1</v>
      </c>
      <c r="D707" s="39" t="s">
        <v>13</v>
      </c>
      <c r="E707" s="43" t="s">
        <v>13</v>
      </c>
      <c r="F707" s="44">
        <v>6</v>
      </c>
      <c r="G707" s="44">
        <v>0</v>
      </c>
      <c r="H707" s="44">
        <v>1475</v>
      </c>
      <c r="I707" s="44">
        <v>1500</v>
      </c>
    </row>
    <row r="708" spans="1:11" ht="18.75" customHeight="1">
      <c r="A708" s="75" t="s">
        <v>56</v>
      </c>
      <c r="B708" s="41">
        <v>70</v>
      </c>
      <c r="C708" s="41">
        <v>1</v>
      </c>
      <c r="D708" s="39" t="s">
        <v>13</v>
      </c>
      <c r="E708" s="43" t="s">
        <v>13</v>
      </c>
      <c r="F708" s="44">
        <v>6</v>
      </c>
      <c r="G708" s="44">
        <v>0</v>
      </c>
      <c r="H708" s="44">
        <v>1373</v>
      </c>
      <c r="I708" s="44">
        <v>1393</v>
      </c>
    </row>
    <row r="709" spans="1:11" ht="18.75" customHeight="1">
      <c r="A709" s="75" t="s">
        <v>56</v>
      </c>
      <c r="B709" s="41">
        <v>100</v>
      </c>
      <c r="C709" s="41">
        <v>3</v>
      </c>
      <c r="D709" s="39" t="s">
        <v>12</v>
      </c>
      <c r="E709" s="43" t="s">
        <v>13</v>
      </c>
      <c r="F709" s="44">
        <v>7</v>
      </c>
      <c r="G709" s="44">
        <v>0</v>
      </c>
      <c r="H709" s="44">
        <v>2943</v>
      </c>
      <c r="I709" s="44">
        <v>2959</v>
      </c>
    </row>
    <row r="710" spans="1:11" ht="18.75" customHeight="1">
      <c r="A710" s="75" t="s">
        <v>56</v>
      </c>
      <c r="B710" s="41">
        <v>130</v>
      </c>
      <c r="C710" s="41">
        <v>6</v>
      </c>
      <c r="D710" s="39" t="s">
        <v>12</v>
      </c>
      <c r="E710" s="43" t="s">
        <v>13</v>
      </c>
      <c r="F710" s="44">
        <v>8</v>
      </c>
      <c r="G710" s="44">
        <v>1</v>
      </c>
      <c r="H710" s="44">
        <v>2111</v>
      </c>
      <c r="I710" s="44">
        <v>2125</v>
      </c>
    </row>
    <row r="711" spans="1:11" ht="18.75" customHeight="1">
      <c r="A711" s="75" t="s">
        <v>56</v>
      </c>
      <c r="B711" s="41">
        <v>130</v>
      </c>
      <c r="C711" s="41">
        <v>7</v>
      </c>
      <c r="D711" s="39" t="s">
        <v>12</v>
      </c>
      <c r="E711" s="43" t="s">
        <v>13</v>
      </c>
      <c r="F711" s="44">
        <v>9</v>
      </c>
      <c r="G711" s="44">
        <v>1</v>
      </c>
      <c r="H711" s="44">
        <v>4074</v>
      </c>
      <c r="I711" s="44">
        <v>4088</v>
      </c>
    </row>
    <row r="712" spans="1:11" ht="18.75" customHeight="1">
      <c r="A712" s="75" t="s">
        <v>56</v>
      </c>
      <c r="B712" s="41">
        <v>140</v>
      </c>
      <c r="C712" s="41">
        <v>1</v>
      </c>
      <c r="D712" s="39" t="s">
        <v>12</v>
      </c>
      <c r="E712" s="43" t="s">
        <v>13</v>
      </c>
      <c r="F712" s="44">
        <v>9</v>
      </c>
      <c r="G712" s="44">
        <v>0</v>
      </c>
      <c r="H712" s="44">
        <v>2172</v>
      </c>
      <c r="I712" s="44">
        <v>2185</v>
      </c>
    </row>
    <row r="713" spans="1:11" ht="18.75" customHeight="1">
      <c r="A713" s="75" t="s">
        <v>56</v>
      </c>
      <c r="B713" s="41">
        <v>150</v>
      </c>
      <c r="C713" s="41">
        <v>3</v>
      </c>
      <c r="D713" s="39" t="s">
        <v>12</v>
      </c>
      <c r="E713" s="43" t="s">
        <v>13</v>
      </c>
      <c r="F713" s="44">
        <v>9</v>
      </c>
      <c r="G713" s="44">
        <v>0</v>
      </c>
      <c r="H713" s="44">
        <v>1932</v>
      </c>
      <c r="I713" s="44">
        <v>1945</v>
      </c>
    </row>
    <row r="714" spans="1:11" ht="18.75" customHeight="1">
      <c r="A714" s="75" t="s">
        <v>56</v>
      </c>
      <c r="B714" s="41">
        <v>150</v>
      </c>
      <c r="C714" s="41">
        <v>4</v>
      </c>
      <c r="D714" s="39" t="s">
        <v>12</v>
      </c>
      <c r="E714" s="43" t="s">
        <v>13</v>
      </c>
      <c r="F714" s="44">
        <v>9</v>
      </c>
      <c r="G714" s="44">
        <v>0</v>
      </c>
      <c r="H714" s="44">
        <v>2324</v>
      </c>
      <c r="I714" s="44">
        <v>2336</v>
      </c>
    </row>
    <row r="715" spans="1:11" ht="18.75" customHeight="1">
      <c r="A715" s="75" t="s">
        <v>56</v>
      </c>
      <c r="B715" s="41">
        <v>150</v>
      </c>
      <c r="C715" s="41">
        <v>5</v>
      </c>
      <c r="D715" s="39" t="s">
        <v>12</v>
      </c>
      <c r="E715" s="43" t="s">
        <v>13</v>
      </c>
      <c r="F715" s="44">
        <v>9</v>
      </c>
      <c r="G715" s="44">
        <v>0</v>
      </c>
      <c r="H715" s="44">
        <v>3346</v>
      </c>
      <c r="I715" s="44">
        <v>3358</v>
      </c>
    </row>
    <row r="716" spans="1:11" ht="18.75" customHeight="1">
      <c r="A716" s="75" t="s">
        <v>57</v>
      </c>
      <c r="B716" s="41">
        <v>10</v>
      </c>
      <c r="C716" s="41">
        <v>1</v>
      </c>
      <c r="D716" s="39" t="s">
        <v>13</v>
      </c>
      <c r="E716" s="43" t="s">
        <v>13</v>
      </c>
      <c r="F716" s="44">
        <v>2</v>
      </c>
      <c r="G716" s="44">
        <v>0</v>
      </c>
      <c r="H716" s="44">
        <v>2676</v>
      </c>
      <c r="I716" s="44">
        <v>2780</v>
      </c>
    </row>
    <row r="717" spans="1:11" ht="18.75" customHeight="1">
      <c r="A717" s="75" t="s">
        <v>57</v>
      </c>
      <c r="B717" s="41">
        <v>80</v>
      </c>
      <c r="C717" s="41">
        <v>1</v>
      </c>
      <c r="D717" s="39" t="s">
        <v>14</v>
      </c>
      <c r="E717" s="43" t="s">
        <v>15</v>
      </c>
      <c r="F717" s="44">
        <v>5</v>
      </c>
      <c r="G717" s="44">
        <v>0</v>
      </c>
      <c r="H717" s="44">
        <v>2767</v>
      </c>
      <c r="I717" s="44">
        <v>2785</v>
      </c>
      <c r="J717">
        <v>2828</v>
      </c>
    </row>
    <row r="718" spans="1:11" ht="18.75" customHeight="1">
      <c r="A718" s="75" t="s">
        <v>57</v>
      </c>
      <c r="B718" s="41">
        <v>80</v>
      </c>
      <c r="C718" s="41">
        <v>2</v>
      </c>
      <c r="D718" s="39" t="s">
        <v>14</v>
      </c>
      <c r="E718" s="43" t="s">
        <v>15</v>
      </c>
      <c r="F718" s="44">
        <v>6</v>
      </c>
      <c r="G718" s="44">
        <v>0</v>
      </c>
      <c r="H718" s="44">
        <v>3028</v>
      </c>
      <c r="I718" s="44">
        <v>3045</v>
      </c>
      <c r="J718">
        <v>3071</v>
      </c>
    </row>
    <row r="719" spans="1:11" ht="18.75" customHeight="1">
      <c r="A719" s="75" t="s">
        <v>57</v>
      </c>
      <c r="B719" s="41">
        <v>70</v>
      </c>
      <c r="C719" s="41">
        <v>1</v>
      </c>
      <c r="D719" s="39" t="s">
        <v>16</v>
      </c>
      <c r="E719" s="43" t="s">
        <v>15</v>
      </c>
      <c r="F719" s="44">
        <v>6</v>
      </c>
      <c r="G719" s="44">
        <v>0</v>
      </c>
      <c r="H719" s="44">
        <v>2699</v>
      </c>
      <c r="I719" s="44">
        <v>2718</v>
      </c>
      <c r="J719">
        <v>3250</v>
      </c>
    </row>
    <row r="720" spans="1:11" ht="18.75" customHeight="1">
      <c r="A720" s="75" t="s">
        <v>57</v>
      </c>
      <c r="B720" s="41">
        <v>50</v>
      </c>
      <c r="C720" s="41">
        <v>1</v>
      </c>
      <c r="D720" s="39" t="s">
        <v>14</v>
      </c>
      <c r="E720" s="43" t="s">
        <v>15</v>
      </c>
      <c r="F720" s="44">
        <v>7</v>
      </c>
      <c r="G720" s="44">
        <v>1</v>
      </c>
      <c r="H720" s="44">
        <v>2845</v>
      </c>
      <c r="I720" s="44">
        <v>2870</v>
      </c>
      <c r="J720" s="1"/>
      <c r="K720" s="60"/>
    </row>
    <row r="721" spans="1:11" ht="18.75" customHeight="1">
      <c r="A721" s="75" t="s">
        <v>57</v>
      </c>
      <c r="B721" s="41">
        <v>50</v>
      </c>
      <c r="C721" s="41">
        <v>2</v>
      </c>
      <c r="D721" s="39" t="s">
        <v>12</v>
      </c>
      <c r="E721" s="43" t="s">
        <v>13</v>
      </c>
      <c r="F721" s="44">
        <v>4</v>
      </c>
      <c r="G721" s="44">
        <v>1</v>
      </c>
      <c r="H721" s="44">
        <v>1797</v>
      </c>
      <c r="I721" s="44">
        <v>1821</v>
      </c>
    </row>
    <row r="722" spans="1:11" ht="18.75" customHeight="1">
      <c r="A722" s="75" t="s">
        <v>57</v>
      </c>
      <c r="B722" s="41">
        <v>50</v>
      </c>
      <c r="C722" s="41">
        <v>3</v>
      </c>
      <c r="D722" s="39" t="s">
        <v>16</v>
      </c>
      <c r="E722" s="43" t="s">
        <v>15</v>
      </c>
      <c r="F722" s="44">
        <v>5</v>
      </c>
      <c r="G722" s="44">
        <v>1</v>
      </c>
      <c r="H722" s="44">
        <v>2428</v>
      </c>
      <c r="I722" s="44">
        <v>2452</v>
      </c>
      <c r="J722">
        <v>2491</v>
      </c>
    </row>
    <row r="723" spans="1:11" ht="18.75" customHeight="1">
      <c r="A723" s="75" t="s">
        <v>57</v>
      </c>
      <c r="B723" s="41">
        <v>40</v>
      </c>
      <c r="C723" s="41">
        <v>1</v>
      </c>
      <c r="D723" s="39" t="s">
        <v>16</v>
      </c>
      <c r="E723" s="43" t="s">
        <v>15</v>
      </c>
      <c r="F723" s="44">
        <v>5</v>
      </c>
      <c r="G723" s="44">
        <v>0</v>
      </c>
      <c r="H723" s="44">
        <v>2420</v>
      </c>
      <c r="I723" s="44">
        <v>2449</v>
      </c>
      <c r="J723" s="1"/>
      <c r="K723" s="60"/>
    </row>
    <row r="724" spans="1:11" ht="18.75" customHeight="1">
      <c r="A724" s="75" t="s">
        <v>57</v>
      </c>
      <c r="B724" s="41">
        <v>40</v>
      </c>
      <c r="C724" s="41">
        <v>2</v>
      </c>
      <c r="D724" s="39" t="s">
        <v>12</v>
      </c>
      <c r="E724" s="43" t="s">
        <v>13</v>
      </c>
      <c r="F724" s="44">
        <v>4</v>
      </c>
      <c r="G724" s="44">
        <v>0</v>
      </c>
      <c r="H724" s="44">
        <v>3156</v>
      </c>
      <c r="I724" s="44">
        <v>3185</v>
      </c>
    </row>
    <row r="725" spans="1:11" ht="18.75" customHeight="1">
      <c r="A725" s="75" t="s">
        <v>57</v>
      </c>
      <c r="B725" s="41">
        <v>20</v>
      </c>
      <c r="C725" s="41">
        <v>1</v>
      </c>
      <c r="D725" s="39" t="s">
        <v>14</v>
      </c>
      <c r="E725" s="43" t="s">
        <v>15</v>
      </c>
      <c r="F725" s="44">
        <v>6</v>
      </c>
      <c r="G725" s="44">
        <v>0</v>
      </c>
      <c r="H725" s="44">
        <v>2960</v>
      </c>
      <c r="I725" s="44">
        <v>3013</v>
      </c>
      <c r="J725" s="1"/>
      <c r="K725" s="60"/>
    </row>
    <row r="726" spans="1:11" ht="18.75" customHeight="1">
      <c r="A726" s="75" t="s">
        <v>57</v>
      </c>
      <c r="B726" s="41">
        <v>20</v>
      </c>
      <c r="C726" s="41">
        <v>2</v>
      </c>
      <c r="D726" s="39" t="s">
        <v>12</v>
      </c>
      <c r="E726" s="43" t="s">
        <v>13</v>
      </c>
      <c r="F726" s="44">
        <v>3</v>
      </c>
      <c r="G726" s="44">
        <v>0</v>
      </c>
      <c r="H726" s="44">
        <v>2503</v>
      </c>
      <c r="I726" s="44">
        <v>2558</v>
      </c>
    </row>
    <row r="727" spans="1:11" ht="18.75" customHeight="1">
      <c r="A727" s="75" t="s">
        <v>57</v>
      </c>
      <c r="B727" s="41">
        <v>30</v>
      </c>
      <c r="C727" s="41">
        <v>1</v>
      </c>
      <c r="D727" s="39" t="s">
        <v>12</v>
      </c>
      <c r="E727" s="43" t="s">
        <v>13</v>
      </c>
      <c r="F727" s="44">
        <v>4</v>
      </c>
      <c r="G727" s="44">
        <v>0</v>
      </c>
      <c r="H727" s="44">
        <v>2910</v>
      </c>
      <c r="I727" s="44">
        <v>2948</v>
      </c>
    </row>
    <row r="728" spans="1:11" ht="18.75" customHeight="1">
      <c r="A728" s="75" t="s">
        <v>57</v>
      </c>
      <c r="B728" s="41">
        <v>40</v>
      </c>
      <c r="C728" s="41">
        <v>3</v>
      </c>
      <c r="D728" s="39" t="s">
        <v>12</v>
      </c>
      <c r="E728" s="43" t="s">
        <v>13</v>
      </c>
      <c r="F728" s="44">
        <v>4</v>
      </c>
      <c r="G728" s="44">
        <v>0</v>
      </c>
      <c r="H728" s="44">
        <v>1974</v>
      </c>
      <c r="I728" s="44">
        <v>2002</v>
      </c>
    </row>
    <row r="729" spans="1:11" ht="18.75" customHeight="1">
      <c r="A729" s="75" t="s">
        <v>57</v>
      </c>
      <c r="B729" s="41">
        <v>40</v>
      </c>
      <c r="C729" s="41">
        <v>4</v>
      </c>
      <c r="D729" s="39" t="s">
        <v>12</v>
      </c>
      <c r="E729" s="43" t="s">
        <v>13</v>
      </c>
      <c r="F729" s="44">
        <v>5</v>
      </c>
      <c r="G729" s="44">
        <v>0</v>
      </c>
      <c r="H729" s="44">
        <v>2432</v>
      </c>
      <c r="I729" s="44">
        <v>2461</v>
      </c>
    </row>
    <row r="730" spans="1:11" ht="18.75" customHeight="1">
      <c r="A730" s="75" t="s">
        <v>57</v>
      </c>
      <c r="B730" s="41">
        <v>45</v>
      </c>
      <c r="C730" s="41">
        <v>1</v>
      </c>
      <c r="D730" s="39" t="s">
        <v>12</v>
      </c>
      <c r="E730" s="43" t="s">
        <v>13</v>
      </c>
      <c r="F730" s="44">
        <v>5</v>
      </c>
      <c r="G730" s="44">
        <v>0</v>
      </c>
      <c r="H730" s="44">
        <v>2484</v>
      </c>
      <c r="I730" s="44">
        <v>2511</v>
      </c>
    </row>
    <row r="731" spans="1:11" ht="18.75" customHeight="1">
      <c r="A731" s="75" t="s">
        <v>57</v>
      </c>
      <c r="B731" s="41">
        <v>45</v>
      </c>
      <c r="C731" s="41">
        <v>2</v>
      </c>
      <c r="D731" s="39" t="s">
        <v>13</v>
      </c>
      <c r="E731" s="43" t="s">
        <v>13</v>
      </c>
      <c r="F731" s="44">
        <v>6</v>
      </c>
      <c r="G731" s="44">
        <v>0</v>
      </c>
      <c r="H731" s="44">
        <v>1979</v>
      </c>
      <c r="I731" s="44">
        <v>2006</v>
      </c>
    </row>
    <row r="732" spans="1:11" ht="18.75" customHeight="1">
      <c r="A732" s="75" t="s">
        <v>57</v>
      </c>
      <c r="B732" s="41">
        <v>50</v>
      </c>
      <c r="C732" s="41">
        <v>4</v>
      </c>
      <c r="D732" s="39" t="s">
        <v>12</v>
      </c>
      <c r="E732" s="43" t="s">
        <v>13</v>
      </c>
      <c r="F732" s="44">
        <v>7</v>
      </c>
      <c r="G732" s="44">
        <v>1</v>
      </c>
      <c r="H732" s="44">
        <v>2937</v>
      </c>
      <c r="I732" s="44">
        <v>2962</v>
      </c>
    </row>
    <row r="733" spans="1:11" ht="18.75" customHeight="1">
      <c r="A733" s="75" t="s">
        <v>57</v>
      </c>
      <c r="B733" s="41">
        <v>50</v>
      </c>
      <c r="C733" s="41">
        <v>5</v>
      </c>
      <c r="D733" s="39" t="s">
        <v>14</v>
      </c>
      <c r="E733" s="43" t="s">
        <v>15</v>
      </c>
      <c r="F733" s="44">
        <v>7</v>
      </c>
      <c r="G733" s="44">
        <v>1</v>
      </c>
      <c r="H733" s="44">
        <v>2427</v>
      </c>
      <c r="I733" s="44">
        <v>2452</v>
      </c>
      <c r="J733">
        <v>2529</v>
      </c>
    </row>
    <row r="734" spans="1:11" ht="18.75" customHeight="1">
      <c r="A734" s="75" t="s">
        <v>57</v>
      </c>
      <c r="B734" s="41">
        <v>48</v>
      </c>
      <c r="C734" s="41">
        <v>1</v>
      </c>
      <c r="D734" s="39" t="s">
        <v>14</v>
      </c>
      <c r="E734" s="43" t="s">
        <v>15</v>
      </c>
      <c r="F734" s="44">
        <v>7</v>
      </c>
      <c r="G734" s="44">
        <v>0</v>
      </c>
      <c r="H734" s="44">
        <v>3261</v>
      </c>
      <c r="I734" s="44">
        <v>3287</v>
      </c>
      <c r="J734" s="1"/>
      <c r="K734" s="60"/>
    </row>
    <row r="735" spans="1:11" ht="18.75" customHeight="1">
      <c r="A735" s="75" t="s">
        <v>57</v>
      </c>
      <c r="B735" s="41">
        <v>49</v>
      </c>
      <c r="C735" s="41">
        <v>1</v>
      </c>
      <c r="D735" s="39" t="s">
        <v>12</v>
      </c>
      <c r="E735" s="43" t="s">
        <v>13</v>
      </c>
      <c r="F735" s="44">
        <v>6</v>
      </c>
      <c r="G735" s="44">
        <v>0</v>
      </c>
      <c r="H735" s="44">
        <v>3185</v>
      </c>
      <c r="I735" s="44">
        <v>3210</v>
      </c>
    </row>
    <row r="736" spans="1:11" ht="18.75" customHeight="1">
      <c r="A736" s="75" t="s">
        <v>57</v>
      </c>
      <c r="B736" s="41">
        <v>49</v>
      </c>
      <c r="C736" s="41">
        <v>2</v>
      </c>
      <c r="D736" s="39" t="s">
        <v>14</v>
      </c>
      <c r="E736" s="43" t="s">
        <v>15</v>
      </c>
      <c r="F736" s="44">
        <v>7</v>
      </c>
      <c r="G736" s="44">
        <v>0</v>
      </c>
      <c r="H736" s="44">
        <v>2291</v>
      </c>
      <c r="I736" s="44">
        <v>2316</v>
      </c>
      <c r="J736">
        <v>2328</v>
      </c>
    </row>
    <row r="737" spans="1:11" ht="18.75" customHeight="1">
      <c r="A737" s="75" t="s">
        <v>57</v>
      </c>
      <c r="B737" s="41">
        <v>48</v>
      </c>
      <c r="C737" s="41">
        <v>2</v>
      </c>
      <c r="D737" s="39" t="s">
        <v>14</v>
      </c>
      <c r="E737" s="43" t="s">
        <v>15</v>
      </c>
      <c r="F737" s="44">
        <v>6</v>
      </c>
      <c r="G737" s="44">
        <v>0</v>
      </c>
      <c r="H737" s="44">
        <v>3588</v>
      </c>
      <c r="I737" s="44">
        <v>3614</v>
      </c>
      <c r="J737" s="1"/>
      <c r="K737" s="60"/>
    </row>
    <row r="738" spans="1:11" ht="18.75" customHeight="1">
      <c r="A738" s="75" t="s">
        <v>57</v>
      </c>
      <c r="B738" s="41">
        <v>48</v>
      </c>
      <c r="C738" s="41">
        <v>3</v>
      </c>
      <c r="D738" s="39" t="s">
        <v>12</v>
      </c>
      <c r="E738" s="43" t="s">
        <v>13</v>
      </c>
      <c r="F738" s="44">
        <v>6</v>
      </c>
      <c r="G738" s="44">
        <v>0</v>
      </c>
      <c r="H738" s="44">
        <v>2282</v>
      </c>
      <c r="I738" s="44">
        <v>2309</v>
      </c>
    </row>
    <row r="739" spans="1:11" ht="18.75" customHeight="1">
      <c r="A739" s="75" t="s">
        <v>57</v>
      </c>
      <c r="B739" s="41">
        <v>48</v>
      </c>
      <c r="C739" s="41">
        <v>4</v>
      </c>
      <c r="D739" s="39" t="s">
        <v>12</v>
      </c>
      <c r="E739" s="43" t="s">
        <v>13</v>
      </c>
      <c r="F739" s="44">
        <v>5</v>
      </c>
      <c r="G739" s="44">
        <v>0</v>
      </c>
      <c r="H739" s="44">
        <v>2495</v>
      </c>
      <c r="I739" s="44">
        <v>2521</v>
      </c>
    </row>
    <row r="740" spans="1:11" ht="18.75" customHeight="1">
      <c r="A740" s="75" t="s">
        <v>58</v>
      </c>
      <c r="B740" s="41">
        <v>10</v>
      </c>
      <c r="C740" s="41">
        <v>1</v>
      </c>
      <c r="D740" s="39" t="s">
        <v>13</v>
      </c>
      <c r="E740" s="43" t="s">
        <v>13</v>
      </c>
      <c r="F740" s="44">
        <v>3</v>
      </c>
      <c r="G740" s="44">
        <v>0</v>
      </c>
      <c r="H740" s="44">
        <v>2532</v>
      </c>
      <c r="I740" s="44">
        <v>2638</v>
      </c>
    </row>
    <row r="741" spans="1:11" ht="18.75" customHeight="1">
      <c r="A741" s="75" t="s">
        <v>58</v>
      </c>
      <c r="B741" s="41">
        <v>30</v>
      </c>
      <c r="C741" s="41">
        <v>1</v>
      </c>
      <c r="D741" s="39" t="s">
        <v>12</v>
      </c>
      <c r="E741" s="43" t="s">
        <v>13</v>
      </c>
      <c r="F741" s="44">
        <v>5</v>
      </c>
      <c r="G741" s="44">
        <v>0</v>
      </c>
      <c r="H741" s="44">
        <v>2256</v>
      </c>
      <c r="I741" s="44">
        <v>2295</v>
      </c>
    </row>
    <row r="742" spans="1:11" ht="18.75" customHeight="1">
      <c r="A742" s="75" t="s">
        <v>58</v>
      </c>
      <c r="B742" s="41">
        <v>50</v>
      </c>
      <c r="C742" s="41">
        <v>1</v>
      </c>
      <c r="D742" s="39" t="s">
        <v>13</v>
      </c>
      <c r="E742" s="43" t="s">
        <v>13</v>
      </c>
      <c r="F742" s="44">
        <v>4</v>
      </c>
      <c r="G742" s="44">
        <v>0</v>
      </c>
      <c r="H742" s="44">
        <v>2745</v>
      </c>
      <c r="I742" s="44">
        <v>2771</v>
      </c>
    </row>
    <row r="743" spans="1:11" ht="18.75" customHeight="1">
      <c r="A743" s="75" t="s">
        <v>58</v>
      </c>
      <c r="B743" s="41">
        <v>70</v>
      </c>
      <c r="C743" s="41">
        <v>1</v>
      </c>
      <c r="D743" s="39" t="s">
        <v>16</v>
      </c>
      <c r="E743" s="43" t="s">
        <v>15</v>
      </c>
      <c r="F743" s="44">
        <v>6</v>
      </c>
      <c r="G743" s="44">
        <v>1</v>
      </c>
      <c r="H743" s="44">
        <v>2372</v>
      </c>
      <c r="I743" s="44">
        <v>2392</v>
      </c>
      <c r="J743">
        <v>2450</v>
      </c>
    </row>
    <row r="744" spans="1:11" ht="18.75" customHeight="1">
      <c r="A744" s="75" t="s">
        <v>58</v>
      </c>
      <c r="B744" s="41">
        <v>70</v>
      </c>
      <c r="C744" s="41">
        <v>2</v>
      </c>
      <c r="D744" s="39" t="s">
        <v>14</v>
      </c>
      <c r="E744" s="43" t="s">
        <v>15</v>
      </c>
      <c r="F744" s="44">
        <v>4</v>
      </c>
      <c r="G744" s="44">
        <v>1</v>
      </c>
      <c r="H744" s="44">
        <v>2388</v>
      </c>
      <c r="I744" s="44">
        <v>2408</v>
      </c>
      <c r="J744">
        <v>2534</v>
      </c>
    </row>
    <row r="745" spans="1:11" ht="18.75" customHeight="1">
      <c r="A745" s="75" t="s">
        <v>58</v>
      </c>
      <c r="B745" s="41">
        <v>70</v>
      </c>
      <c r="C745" s="41">
        <v>3</v>
      </c>
      <c r="D745" s="39" t="s">
        <v>12</v>
      </c>
      <c r="E745" s="43" t="s">
        <v>13</v>
      </c>
      <c r="F745" s="44">
        <v>3</v>
      </c>
      <c r="G745" s="44">
        <v>1</v>
      </c>
      <c r="H745" s="44">
        <v>3670</v>
      </c>
      <c r="I745" s="44">
        <v>3689</v>
      </c>
    </row>
    <row r="746" spans="1:11" ht="18.75" customHeight="1">
      <c r="A746" s="75" t="s">
        <v>58</v>
      </c>
      <c r="B746" s="41">
        <v>70</v>
      </c>
      <c r="C746" s="41">
        <v>4</v>
      </c>
      <c r="D746" s="39" t="s">
        <v>14</v>
      </c>
      <c r="E746" s="43" t="s">
        <v>15</v>
      </c>
      <c r="F746" s="44">
        <v>6</v>
      </c>
      <c r="G746" s="44">
        <v>1</v>
      </c>
      <c r="H746" s="44">
        <v>4708</v>
      </c>
      <c r="I746" s="44">
        <v>4726</v>
      </c>
      <c r="J746">
        <v>4769</v>
      </c>
    </row>
    <row r="747" spans="1:11" ht="18.75" customHeight="1">
      <c r="A747" s="75" t="s">
        <v>58</v>
      </c>
      <c r="B747" s="41">
        <v>70</v>
      </c>
      <c r="C747" s="41">
        <v>5</v>
      </c>
      <c r="D747" s="39" t="s">
        <v>16</v>
      </c>
      <c r="E747" s="43" t="s">
        <v>15</v>
      </c>
      <c r="F747" s="44">
        <v>5</v>
      </c>
      <c r="G747" s="44">
        <v>1</v>
      </c>
      <c r="H747" s="44">
        <v>4455</v>
      </c>
      <c r="I747" s="44">
        <v>4474</v>
      </c>
      <c r="J747">
        <v>4534</v>
      </c>
    </row>
    <row r="748" spans="1:11" ht="18.75" customHeight="1">
      <c r="A748" s="75" t="s">
        <v>58</v>
      </c>
      <c r="B748" s="41">
        <v>65</v>
      </c>
      <c r="C748" s="41">
        <v>1</v>
      </c>
      <c r="D748" s="39" t="s">
        <v>16</v>
      </c>
      <c r="E748" s="43" t="s">
        <v>15</v>
      </c>
      <c r="F748" s="44">
        <v>5</v>
      </c>
      <c r="G748" s="44">
        <v>0</v>
      </c>
      <c r="H748" s="44">
        <v>3520</v>
      </c>
      <c r="I748" s="44">
        <v>3540</v>
      </c>
      <c r="J748">
        <v>3587</v>
      </c>
    </row>
    <row r="749" spans="1:11" ht="18.75" customHeight="1">
      <c r="A749" s="75" t="s">
        <v>58</v>
      </c>
      <c r="B749" s="41">
        <v>60</v>
      </c>
      <c r="C749" s="41">
        <v>1</v>
      </c>
      <c r="D749" s="39" t="s">
        <v>12</v>
      </c>
      <c r="E749" s="43" t="s">
        <v>13</v>
      </c>
      <c r="F749" s="44">
        <v>3</v>
      </c>
      <c r="G749" s="44">
        <v>0</v>
      </c>
      <c r="H749" s="44">
        <v>4316</v>
      </c>
      <c r="I749" s="44">
        <v>4338</v>
      </c>
    </row>
    <row r="750" spans="1:11" ht="18.75" customHeight="1">
      <c r="A750" s="75" t="s">
        <v>58</v>
      </c>
      <c r="B750" s="41">
        <v>60</v>
      </c>
      <c r="C750" s="41">
        <v>2</v>
      </c>
      <c r="D750" s="39" t="s">
        <v>12</v>
      </c>
      <c r="E750" s="43" t="s">
        <v>13</v>
      </c>
      <c r="F750" s="44">
        <v>2</v>
      </c>
      <c r="G750" s="44">
        <v>0</v>
      </c>
      <c r="H750" s="44">
        <v>3185</v>
      </c>
      <c r="I750" s="44">
        <v>3207</v>
      </c>
    </row>
    <row r="751" spans="1:11" ht="18.75" customHeight="1">
      <c r="A751" s="75" t="s">
        <v>58</v>
      </c>
      <c r="B751" s="41">
        <v>60</v>
      </c>
      <c r="C751" s="41">
        <v>3</v>
      </c>
      <c r="D751" s="39" t="s">
        <v>12</v>
      </c>
      <c r="E751" s="43" t="s">
        <v>13</v>
      </c>
      <c r="F751" s="44">
        <v>3</v>
      </c>
      <c r="G751" s="44">
        <v>0</v>
      </c>
      <c r="H751" s="44">
        <v>3853</v>
      </c>
      <c r="I751" s="44">
        <v>3875</v>
      </c>
    </row>
    <row r="752" spans="1:11" ht="18.75" customHeight="1">
      <c r="A752" s="75" t="s">
        <v>58</v>
      </c>
      <c r="B752" s="41">
        <v>65</v>
      </c>
      <c r="C752" s="41">
        <v>2</v>
      </c>
      <c r="D752" s="39" t="s">
        <v>12</v>
      </c>
      <c r="E752" s="43" t="s">
        <v>13</v>
      </c>
      <c r="F752" s="44">
        <v>2</v>
      </c>
      <c r="G752" s="44">
        <v>0</v>
      </c>
      <c r="H752" s="44">
        <v>2914</v>
      </c>
      <c r="I752" s="44">
        <v>2935</v>
      </c>
    </row>
    <row r="753" spans="1:10" ht="18.75" customHeight="1">
      <c r="A753" s="75" t="s">
        <v>58</v>
      </c>
      <c r="B753" s="41">
        <v>65</v>
      </c>
      <c r="C753" s="41">
        <v>3</v>
      </c>
      <c r="D753" s="39" t="s">
        <v>12</v>
      </c>
      <c r="E753" s="43" t="s">
        <v>13</v>
      </c>
      <c r="F753" s="44">
        <v>2</v>
      </c>
      <c r="G753" s="44">
        <v>0</v>
      </c>
      <c r="H753" s="44">
        <v>2860</v>
      </c>
      <c r="I753" s="44">
        <v>2881</v>
      </c>
    </row>
    <row r="754" spans="1:10" ht="18.75" customHeight="1">
      <c r="A754" s="75" t="s">
        <v>58</v>
      </c>
      <c r="B754" s="41">
        <v>70</v>
      </c>
      <c r="C754" s="41">
        <v>6</v>
      </c>
      <c r="D754" s="39" t="s">
        <v>12</v>
      </c>
      <c r="E754" s="43" t="s">
        <v>13</v>
      </c>
      <c r="F754" s="44">
        <v>4</v>
      </c>
      <c r="G754" s="44">
        <v>1</v>
      </c>
      <c r="H754" s="44">
        <v>3389</v>
      </c>
      <c r="I754" s="44">
        <v>3407</v>
      </c>
    </row>
    <row r="755" spans="1:10" ht="18.75" customHeight="1">
      <c r="A755" s="75" t="s">
        <v>58</v>
      </c>
      <c r="B755" s="41">
        <v>70</v>
      </c>
      <c r="C755" s="41">
        <v>7</v>
      </c>
      <c r="D755" s="39" t="s">
        <v>12</v>
      </c>
      <c r="E755" s="43" t="s">
        <v>13</v>
      </c>
      <c r="F755" s="44">
        <v>4</v>
      </c>
      <c r="G755" s="44">
        <v>1</v>
      </c>
      <c r="H755" s="44">
        <v>2687</v>
      </c>
      <c r="I755" s="44">
        <v>2707</v>
      </c>
    </row>
    <row r="756" spans="1:10" ht="18.75" customHeight="1">
      <c r="A756" s="75" t="s">
        <v>58</v>
      </c>
      <c r="B756" s="41">
        <v>70</v>
      </c>
      <c r="C756" s="41">
        <v>8</v>
      </c>
      <c r="D756" s="39" t="s">
        <v>12</v>
      </c>
      <c r="E756" s="43" t="s">
        <v>13</v>
      </c>
      <c r="F756" s="44">
        <v>4</v>
      </c>
      <c r="G756" s="44">
        <v>1</v>
      </c>
      <c r="H756" s="44">
        <v>1970</v>
      </c>
      <c r="I756" s="44">
        <v>1989</v>
      </c>
    </row>
    <row r="757" spans="1:10" ht="18.75" customHeight="1">
      <c r="A757" s="75" t="s">
        <v>58</v>
      </c>
      <c r="B757" s="41">
        <v>70</v>
      </c>
      <c r="C757" s="41">
        <v>9</v>
      </c>
      <c r="D757" s="39" t="s">
        <v>12</v>
      </c>
      <c r="E757" s="43" t="s">
        <v>13</v>
      </c>
      <c r="F757" s="44">
        <v>5</v>
      </c>
      <c r="G757" s="44">
        <v>1</v>
      </c>
      <c r="H757" s="44">
        <v>3901</v>
      </c>
      <c r="I757" s="44">
        <v>3921</v>
      </c>
    </row>
    <row r="758" spans="1:10" ht="18.75" customHeight="1">
      <c r="A758" s="75" t="s">
        <v>58</v>
      </c>
      <c r="B758" s="41">
        <v>70</v>
      </c>
      <c r="C758" s="41">
        <v>10</v>
      </c>
      <c r="D758" s="39" t="s">
        <v>12</v>
      </c>
      <c r="E758" s="43" t="s">
        <v>13</v>
      </c>
      <c r="F758" s="44">
        <v>3</v>
      </c>
      <c r="G758" s="44">
        <v>1</v>
      </c>
      <c r="H758" s="44">
        <v>3217</v>
      </c>
      <c r="I758" s="44">
        <v>3236</v>
      </c>
    </row>
    <row r="759" spans="1:10" ht="18.75" customHeight="1">
      <c r="A759" s="75" t="s">
        <v>58</v>
      </c>
      <c r="B759" s="41">
        <v>80</v>
      </c>
      <c r="C759" s="41">
        <v>1</v>
      </c>
      <c r="D759" s="39" t="s">
        <v>12</v>
      </c>
      <c r="E759" s="43" t="s">
        <v>13</v>
      </c>
      <c r="F759" s="44">
        <v>3</v>
      </c>
      <c r="G759" s="44">
        <v>0</v>
      </c>
      <c r="H759" s="44">
        <v>4025</v>
      </c>
      <c r="I759" s="44">
        <v>4042</v>
      </c>
    </row>
    <row r="760" spans="1:10" ht="18.75" customHeight="1">
      <c r="A760" s="75" t="s">
        <v>58</v>
      </c>
      <c r="B760" s="41">
        <v>90</v>
      </c>
      <c r="C760" s="41">
        <v>1</v>
      </c>
      <c r="D760" s="39" t="s">
        <v>12</v>
      </c>
      <c r="E760" s="43" t="s">
        <v>13</v>
      </c>
      <c r="F760" s="44">
        <v>3</v>
      </c>
      <c r="G760" s="44">
        <v>0</v>
      </c>
      <c r="H760" s="44">
        <v>2242</v>
      </c>
      <c r="I760" s="44">
        <v>2259</v>
      </c>
    </row>
    <row r="761" spans="1:10" ht="18.75" customHeight="1">
      <c r="A761" s="75" t="s">
        <v>58</v>
      </c>
      <c r="B761" s="41">
        <v>100</v>
      </c>
      <c r="C761" s="41">
        <v>1</v>
      </c>
      <c r="D761" s="39" t="s">
        <v>12</v>
      </c>
      <c r="E761" s="43" t="s">
        <v>13</v>
      </c>
      <c r="F761" s="44">
        <v>3</v>
      </c>
      <c r="G761" s="44">
        <v>0</v>
      </c>
      <c r="H761" s="44">
        <v>3530</v>
      </c>
      <c r="I761" s="44">
        <v>3545</v>
      </c>
    </row>
    <row r="762" spans="1:10" ht="18.75" customHeight="1">
      <c r="A762" s="75" t="s">
        <v>59</v>
      </c>
      <c r="B762" s="41">
        <v>10</v>
      </c>
      <c r="C762" s="41">
        <v>1</v>
      </c>
      <c r="D762" s="39" t="s">
        <v>13</v>
      </c>
      <c r="E762" s="43" t="s">
        <v>13</v>
      </c>
      <c r="F762" s="44">
        <v>2</v>
      </c>
      <c r="G762" s="44">
        <v>0</v>
      </c>
      <c r="H762" s="44">
        <v>1387</v>
      </c>
      <c r="I762" s="44">
        <v>1492</v>
      </c>
    </row>
    <row r="763" spans="1:10" ht="18.75" customHeight="1">
      <c r="A763" s="75" t="s">
        <v>59</v>
      </c>
      <c r="B763" s="41">
        <v>35</v>
      </c>
      <c r="C763" s="41">
        <v>1</v>
      </c>
      <c r="D763" s="39" t="s">
        <v>12</v>
      </c>
      <c r="E763" s="43" t="s">
        <v>13</v>
      </c>
      <c r="F763" s="44">
        <v>3</v>
      </c>
      <c r="G763" s="44">
        <v>1</v>
      </c>
      <c r="H763" s="44">
        <v>2253</v>
      </c>
      <c r="I763" s="44">
        <v>2284</v>
      </c>
    </row>
    <row r="764" spans="1:10" ht="18.75" customHeight="1">
      <c r="A764" s="75" t="s">
        <v>59</v>
      </c>
      <c r="B764" s="41">
        <v>40</v>
      </c>
      <c r="C764" s="41">
        <v>1</v>
      </c>
      <c r="D764" s="39" t="s">
        <v>14</v>
      </c>
      <c r="E764" s="43" t="s">
        <v>15</v>
      </c>
      <c r="F764" s="44">
        <v>4</v>
      </c>
      <c r="G764" s="44">
        <v>0</v>
      </c>
      <c r="H764" s="44">
        <v>2186</v>
      </c>
      <c r="I764" s="44">
        <v>2215</v>
      </c>
      <c r="J764">
        <v>2250</v>
      </c>
    </row>
    <row r="765" spans="1:10" ht="18.75" customHeight="1">
      <c r="A765" s="75" t="s">
        <v>59</v>
      </c>
      <c r="B765" s="41">
        <v>40</v>
      </c>
      <c r="C765" s="41">
        <v>2</v>
      </c>
      <c r="D765" s="39" t="s">
        <v>14</v>
      </c>
      <c r="E765" s="43" t="s">
        <v>15</v>
      </c>
      <c r="F765" s="44">
        <v>4</v>
      </c>
      <c r="G765" s="44">
        <v>0</v>
      </c>
      <c r="H765" s="44">
        <v>2150</v>
      </c>
      <c r="I765" s="44">
        <v>2179</v>
      </c>
      <c r="J765">
        <v>2205</v>
      </c>
    </row>
    <row r="766" spans="1:10" ht="18.75" customHeight="1">
      <c r="A766" s="75" t="s">
        <v>59</v>
      </c>
      <c r="B766" s="41">
        <v>38</v>
      </c>
      <c r="C766" s="41">
        <v>1</v>
      </c>
      <c r="D766" s="39" t="s">
        <v>14</v>
      </c>
      <c r="E766" s="43" t="s">
        <v>15</v>
      </c>
      <c r="F766" s="44">
        <v>4</v>
      </c>
      <c r="G766" s="44">
        <v>0</v>
      </c>
      <c r="H766" s="44">
        <v>2679</v>
      </c>
      <c r="I766" s="44">
        <v>2708</v>
      </c>
      <c r="J766">
        <v>2739</v>
      </c>
    </row>
    <row r="767" spans="1:10" ht="18.75" customHeight="1">
      <c r="A767" s="75" t="s">
        <v>59</v>
      </c>
      <c r="B767" s="41">
        <v>38</v>
      </c>
      <c r="C767" s="41">
        <v>2</v>
      </c>
      <c r="D767" s="39" t="s">
        <v>14</v>
      </c>
      <c r="E767" s="43" t="s">
        <v>15</v>
      </c>
      <c r="F767" s="44">
        <v>6</v>
      </c>
      <c r="G767" s="44">
        <v>0</v>
      </c>
      <c r="H767" s="44">
        <v>2537</v>
      </c>
      <c r="I767" s="44">
        <v>2566</v>
      </c>
      <c r="J767">
        <v>2595</v>
      </c>
    </row>
    <row r="768" spans="1:10" ht="18.75" customHeight="1">
      <c r="A768" s="75" t="s">
        <v>59</v>
      </c>
      <c r="B768" s="41">
        <v>35</v>
      </c>
      <c r="C768" s="41">
        <v>2</v>
      </c>
      <c r="D768" s="39" t="s">
        <v>14</v>
      </c>
      <c r="E768" s="43" t="s">
        <v>15</v>
      </c>
      <c r="F768" s="44">
        <v>8</v>
      </c>
      <c r="G768" s="44">
        <v>1</v>
      </c>
      <c r="H768" s="44">
        <v>1152</v>
      </c>
      <c r="I768" s="44">
        <v>1183</v>
      </c>
      <c r="J768">
        <v>1215</v>
      </c>
    </row>
    <row r="769" spans="1:10" ht="18.75" customHeight="1">
      <c r="A769" s="75" t="s">
        <v>59</v>
      </c>
      <c r="B769" s="41">
        <v>30</v>
      </c>
      <c r="C769" s="41">
        <v>1</v>
      </c>
      <c r="D769" s="39" t="s">
        <v>12</v>
      </c>
      <c r="E769" s="43" t="s">
        <v>13</v>
      </c>
      <c r="F769" s="44">
        <v>5</v>
      </c>
      <c r="G769" s="44">
        <v>0</v>
      </c>
      <c r="H769" s="44">
        <v>1533</v>
      </c>
      <c r="I769" s="44">
        <v>1570</v>
      </c>
    </row>
    <row r="770" spans="1:10" ht="18.75" customHeight="1">
      <c r="A770" s="75" t="s">
        <v>59</v>
      </c>
      <c r="B770" s="41">
        <v>35</v>
      </c>
      <c r="C770" s="41">
        <v>3</v>
      </c>
      <c r="D770" s="39" t="s">
        <v>14</v>
      </c>
      <c r="E770" s="43" t="s">
        <v>15</v>
      </c>
      <c r="F770" s="44">
        <v>5</v>
      </c>
      <c r="G770" s="44">
        <v>1</v>
      </c>
      <c r="H770" s="44">
        <v>2288</v>
      </c>
      <c r="I770" s="44">
        <v>2322</v>
      </c>
      <c r="J770">
        <v>2335</v>
      </c>
    </row>
    <row r="771" spans="1:10" ht="18.75" customHeight="1">
      <c r="A771" s="75" t="s">
        <v>59</v>
      </c>
      <c r="B771" s="41">
        <v>32</v>
      </c>
      <c r="C771" s="41">
        <v>1</v>
      </c>
      <c r="D771" s="39" t="s">
        <v>16</v>
      </c>
      <c r="E771" s="43" t="s">
        <v>15</v>
      </c>
      <c r="F771" s="44">
        <v>6</v>
      </c>
      <c r="G771" s="44">
        <v>0</v>
      </c>
      <c r="H771" s="44">
        <v>2987</v>
      </c>
      <c r="I771" s="44">
        <v>3020</v>
      </c>
      <c r="J771">
        <v>3097</v>
      </c>
    </row>
    <row r="772" spans="1:10" ht="18.75" customHeight="1">
      <c r="A772" s="75" t="s">
        <v>59</v>
      </c>
      <c r="B772" s="41">
        <v>32</v>
      </c>
      <c r="C772" s="41">
        <v>2</v>
      </c>
      <c r="D772" s="39" t="s">
        <v>14</v>
      </c>
      <c r="E772" s="43" t="s">
        <v>15</v>
      </c>
      <c r="F772" s="44">
        <v>5</v>
      </c>
      <c r="G772" s="44">
        <v>0</v>
      </c>
      <c r="H772" s="44">
        <v>3110</v>
      </c>
      <c r="I772" s="44">
        <v>3143</v>
      </c>
      <c r="J772">
        <v>3163</v>
      </c>
    </row>
    <row r="773" spans="1:10" ht="18.75" customHeight="1">
      <c r="A773" s="75" t="s">
        <v>59</v>
      </c>
      <c r="B773" s="41">
        <v>30</v>
      </c>
      <c r="C773" s="41">
        <v>2</v>
      </c>
      <c r="D773" s="39" t="s">
        <v>14</v>
      </c>
      <c r="E773" s="43" t="s">
        <v>15</v>
      </c>
      <c r="F773" s="44">
        <v>5</v>
      </c>
      <c r="G773" s="44">
        <v>0</v>
      </c>
      <c r="H773" s="44">
        <v>2637</v>
      </c>
      <c r="I773" s="44">
        <v>2672</v>
      </c>
      <c r="J773">
        <v>2688</v>
      </c>
    </row>
    <row r="774" spans="1:10" ht="18.75" customHeight="1">
      <c r="A774" s="75" t="s">
        <v>59</v>
      </c>
      <c r="B774" s="41">
        <v>25</v>
      </c>
      <c r="C774" s="41">
        <v>1</v>
      </c>
      <c r="D774" s="39" t="s">
        <v>14</v>
      </c>
      <c r="E774" s="43" t="s">
        <v>15</v>
      </c>
      <c r="F774" s="44">
        <v>4</v>
      </c>
      <c r="G774" s="44">
        <v>0</v>
      </c>
      <c r="H774" s="44">
        <v>4007</v>
      </c>
      <c r="I774" s="44">
        <v>4048</v>
      </c>
      <c r="J774">
        <v>4061</v>
      </c>
    </row>
    <row r="775" spans="1:10" ht="18.75" customHeight="1">
      <c r="A775" s="75" t="s">
        <v>59</v>
      </c>
      <c r="B775" s="41">
        <v>20</v>
      </c>
      <c r="C775" s="41">
        <v>1</v>
      </c>
      <c r="D775" s="39" t="s">
        <v>12</v>
      </c>
      <c r="E775" s="43" t="s">
        <v>13</v>
      </c>
      <c r="F775" s="44">
        <v>4</v>
      </c>
      <c r="G775" s="44">
        <v>0</v>
      </c>
      <c r="H775" s="44">
        <v>2391</v>
      </c>
      <c r="I775" s="44">
        <v>2442</v>
      </c>
    </row>
    <row r="776" spans="1:10" ht="18.75" customHeight="1">
      <c r="A776" s="75" t="s">
        <v>59</v>
      </c>
      <c r="B776" s="41">
        <v>25</v>
      </c>
      <c r="C776" s="41">
        <v>2</v>
      </c>
      <c r="D776" s="39" t="s">
        <v>16</v>
      </c>
      <c r="E776" s="43" t="s">
        <v>15</v>
      </c>
      <c r="F776" s="44">
        <v>5</v>
      </c>
      <c r="G776" s="44">
        <v>0</v>
      </c>
      <c r="H776" s="44">
        <v>7814</v>
      </c>
      <c r="I776" s="44">
        <v>7856</v>
      </c>
      <c r="J776">
        <v>7963</v>
      </c>
    </row>
    <row r="777" spans="1:10" ht="18.75" customHeight="1">
      <c r="A777" s="75" t="s">
        <v>59</v>
      </c>
      <c r="B777" s="41">
        <v>25</v>
      </c>
      <c r="C777" s="41">
        <v>3</v>
      </c>
      <c r="D777" s="39" t="s">
        <v>12</v>
      </c>
      <c r="E777" s="43" t="s">
        <v>13</v>
      </c>
      <c r="F777" s="44">
        <v>5</v>
      </c>
      <c r="G777" s="44">
        <v>0</v>
      </c>
      <c r="H777" s="44">
        <v>2763</v>
      </c>
      <c r="I777" s="44">
        <v>2805</v>
      </c>
    </row>
    <row r="778" spans="1:10" ht="18.75" customHeight="1">
      <c r="A778" s="75" t="s">
        <v>59</v>
      </c>
      <c r="B778" s="41">
        <v>30</v>
      </c>
      <c r="C778" s="41">
        <v>3</v>
      </c>
      <c r="D778" s="39" t="s">
        <v>12</v>
      </c>
      <c r="E778" s="43" t="s">
        <v>13</v>
      </c>
      <c r="F778" s="44">
        <v>5</v>
      </c>
      <c r="G778" s="44">
        <v>0</v>
      </c>
      <c r="H778" s="44">
        <v>3134</v>
      </c>
      <c r="I778" s="44">
        <v>3169</v>
      </c>
    </row>
    <row r="779" spans="1:10" ht="18.75" customHeight="1">
      <c r="A779" s="75" t="s">
        <v>59</v>
      </c>
      <c r="B779" s="41">
        <v>35</v>
      </c>
      <c r="C779" s="41">
        <v>4</v>
      </c>
      <c r="D779" s="39" t="s">
        <v>12</v>
      </c>
      <c r="E779" s="43" t="s">
        <v>13</v>
      </c>
      <c r="F779" s="44">
        <v>7</v>
      </c>
      <c r="G779" s="44">
        <v>1</v>
      </c>
      <c r="H779" s="44">
        <v>3271</v>
      </c>
      <c r="I779" s="44">
        <v>3302</v>
      </c>
    </row>
    <row r="780" spans="1:10" ht="18.75" customHeight="1">
      <c r="A780" s="75" t="s">
        <v>59</v>
      </c>
      <c r="B780" s="41">
        <v>40</v>
      </c>
      <c r="C780" s="41">
        <v>3</v>
      </c>
      <c r="D780" s="39" t="s">
        <v>14</v>
      </c>
      <c r="E780" s="43" t="s">
        <v>15</v>
      </c>
      <c r="F780" s="44">
        <v>7</v>
      </c>
      <c r="G780" s="44">
        <v>0</v>
      </c>
      <c r="H780" s="44">
        <v>3906</v>
      </c>
      <c r="I780" s="44">
        <v>3933</v>
      </c>
      <c r="J780">
        <v>3968</v>
      </c>
    </row>
    <row r="781" spans="1:10" ht="18.75" customHeight="1">
      <c r="A781" s="75" t="s">
        <v>59</v>
      </c>
      <c r="B781" s="41">
        <v>35</v>
      </c>
      <c r="C781" s="41">
        <v>5</v>
      </c>
      <c r="D781" s="39" t="s">
        <v>14</v>
      </c>
      <c r="E781" s="43" t="s">
        <v>15</v>
      </c>
      <c r="F781" s="44">
        <v>8</v>
      </c>
      <c r="G781" s="44">
        <v>1</v>
      </c>
      <c r="H781" s="44">
        <v>2554</v>
      </c>
      <c r="I781" s="44">
        <v>2585</v>
      </c>
      <c r="J781">
        <v>2613</v>
      </c>
    </row>
    <row r="782" spans="1:10" ht="18.75" customHeight="1">
      <c r="A782" s="75" t="s">
        <v>59</v>
      </c>
      <c r="B782" s="41">
        <v>35</v>
      </c>
      <c r="C782" s="41">
        <v>6</v>
      </c>
      <c r="D782" s="39" t="s">
        <v>14</v>
      </c>
      <c r="E782" s="43" t="s">
        <v>15</v>
      </c>
      <c r="F782" s="44">
        <v>7</v>
      </c>
      <c r="G782" s="44">
        <v>1</v>
      </c>
      <c r="H782" s="44">
        <v>3896</v>
      </c>
      <c r="I782" s="44">
        <v>3927</v>
      </c>
      <c r="J782">
        <v>3946</v>
      </c>
    </row>
    <row r="783" spans="1:10" ht="18.75" customHeight="1">
      <c r="A783" s="75" t="s">
        <v>59</v>
      </c>
      <c r="B783" s="41">
        <v>35</v>
      </c>
      <c r="C783" s="41">
        <v>7</v>
      </c>
      <c r="D783" s="39" t="s">
        <v>16</v>
      </c>
      <c r="E783" s="43" t="s">
        <v>15</v>
      </c>
      <c r="F783" s="44">
        <v>7</v>
      </c>
      <c r="G783" s="44">
        <v>1</v>
      </c>
      <c r="H783" s="44">
        <v>2737</v>
      </c>
      <c r="I783" s="44">
        <v>2768</v>
      </c>
      <c r="J783">
        <v>2789</v>
      </c>
    </row>
    <row r="784" spans="1:10" ht="18.75" customHeight="1">
      <c r="A784" s="75" t="s">
        <v>59</v>
      </c>
      <c r="B784" s="41">
        <v>35</v>
      </c>
      <c r="C784" s="41">
        <v>8</v>
      </c>
      <c r="D784" s="39" t="s">
        <v>16</v>
      </c>
      <c r="E784" s="43" t="s">
        <v>15</v>
      </c>
      <c r="F784" s="44">
        <v>7</v>
      </c>
      <c r="G784" s="44">
        <v>1</v>
      </c>
      <c r="H784" s="44">
        <v>5432</v>
      </c>
      <c r="I784" s="44">
        <v>5463</v>
      </c>
      <c r="J784">
        <v>5480</v>
      </c>
    </row>
    <row r="785" spans="1:10" ht="18.75" customHeight="1">
      <c r="A785" s="75" t="s">
        <v>60</v>
      </c>
      <c r="B785" s="41">
        <v>10</v>
      </c>
      <c r="C785" s="41">
        <v>1</v>
      </c>
      <c r="D785" s="39" t="s">
        <v>13</v>
      </c>
      <c r="E785" s="43" t="s">
        <v>13</v>
      </c>
      <c r="F785" s="44">
        <v>1</v>
      </c>
      <c r="G785" s="44">
        <v>0</v>
      </c>
      <c r="H785" s="44">
        <v>2707</v>
      </c>
      <c r="I785" s="44">
        <v>2811</v>
      </c>
    </row>
    <row r="786" spans="1:10" ht="18.75" customHeight="1">
      <c r="A786" s="75" t="s">
        <v>60</v>
      </c>
      <c r="B786" s="41">
        <v>30</v>
      </c>
      <c r="C786" s="41">
        <v>1</v>
      </c>
      <c r="D786" s="39" t="s">
        <v>12</v>
      </c>
      <c r="E786" s="43" t="s">
        <v>13</v>
      </c>
      <c r="F786" s="44">
        <v>3</v>
      </c>
      <c r="G786" s="44">
        <v>0</v>
      </c>
      <c r="H786" s="44">
        <v>2060</v>
      </c>
      <c r="I786" s="44">
        <v>2099</v>
      </c>
    </row>
    <row r="787" spans="1:10" ht="18.75" customHeight="1">
      <c r="A787" s="75" t="s">
        <v>60</v>
      </c>
      <c r="B787" s="41">
        <v>50</v>
      </c>
      <c r="C787" s="41">
        <v>1</v>
      </c>
      <c r="D787" s="39" t="s">
        <v>16</v>
      </c>
      <c r="E787" s="43" t="s">
        <v>15</v>
      </c>
      <c r="F787" s="44">
        <v>4</v>
      </c>
      <c r="G787" s="44">
        <v>0</v>
      </c>
      <c r="H787" s="44">
        <v>2769</v>
      </c>
      <c r="I787" s="44">
        <v>2799</v>
      </c>
      <c r="J787">
        <v>2793</v>
      </c>
    </row>
    <row r="788" spans="1:10" ht="18.75" customHeight="1">
      <c r="A788" s="75" t="s">
        <v>60</v>
      </c>
      <c r="B788" s="41">
        <v>50</v>
      </c>
      <c r="C788" s="41">
        <v>2</v>
      </c>
      <c r="D788" s="39" t="s">
        <v>16</v>
      </c>
      <c r="E788" s="43" t="s">
        <v>15</v>
      </c>
      <c r="F788" s="44">
        <v>4</v>
      </c>
      <c r="G788" s="44">
        <v>0</v>
      </c>
      <c r="H788" s="44">
        <v>3687</v>
      </c>
      <c r="I788" s="44">
        <v>3712</v>
      </c>
      <c r="J788">
        <v>3712</v>
      </c>
    </row>
    <row r="789" spans="1:10" ht="18.75" customHeight="1">
      <c r="A789" s="75" t="s">
        <v>60</v>
      </c>
      <c r="B789" s="41">
        <v>50</v>
      </c>
      <c r="C789" s="41">
        <v>3</v>
      </c>
      <c r="D789" s="39" t="s">
        <v>12</v>
      </c>
      <c r="E789" s="43" t="s">
        <v>13</v>
      </c>
      <c r="F789" s="44">
        <v>3</v>
      </c>
      <c r="G789" s="44">
        <v>0</v>
      </c>
      <c r="H789" s="44">
        <v>3396</v>
      </c>
      <c r="I789" s="44">
        <v>3422</v>
      </c>
    </row>
    <row r="790" spans="1:10" ht="18.75" customHeight="1">
      <c r="A790" s="75" t="s">
        <v>60</v>
      </c>
      <c r="B790" s="41">
        <v>50</v>
      </c>
      <c r="C790" s="41">
        <v>4</v>
      </c>
      <c r="D790" s="39" t="s">
        <v>12</v>
      </c>
      <c r="E790" s="43" t="s">
        <v>13</v>
      </c>
      <c r="F790" s="44">
        <v>3</v>
      </c>
      <c r="G790" s="44">
        <v>0</v>
      </c>
      <c r="H790" s="44">
        <v>5202</v>
      </c>
      <c r="I790" s="44">
        <v>5228</v>
      </c>
    </row>
    <row r="791" spans="1:10" ht="18.75" customHeight="1">
      <c r="A791" s="75" t="s">
        <v>60</v>
      </c>
      <c r="B791" s="41">
        <v>50</v>
      </c>
      <c r="C791" s="41">
        <v>5</v>
      </c>
      <c r="D791" s="39" t="s">
        <v>12</v>
      </c>
      <c r="E791" s="43" t="s">
        <v>13</v>
      </c>
      <c r="F791" s="44">
        <v>4</v>
      </c>
      <c r="G791" s="44">
        <v>0</v>
      </c>
      <c r="H791" s="44">
        <v>6315</v>
      </c>
      <c r="I791" s="44">
        <v>6339</v>
      </c>
    </row>
    <row r="792" spans="1:10" ht="18.75" customHeight="1">
      <c r="A792" s="75" t="s">
        <v>60</v>
      </c>
      <c r="B792" s="41">
        <v>50</v>
      </c>
      <c r="C792" s="41">
        <v>6</v>
      </c>
      <c r="D792" s="39" t="s">
        <v>12</v>
      </c>
      <c r="E792" s="43" t="s">
        <v>13</v>
      </c>
      <c r="F792" s="44">
        <v>4</v>
      </c>
      <c r="G792" s="44">
        <v>0</v>
      </c>
      <c r="H792" s="44">
        <v>4321</v>
      </c>
      <c r="I792" s="44">
        <v>4347</v>
      </c>
    </row>
    <row r="793" spans="1:10" ht="18.75" customHeight="1">
      <c r="A793" s="75" t="s">
        <v>60</v>
      </c>
      <c r="B793" s="41">
        <v>55</v>
      </c>
      <c r="C793" s="41">
        <v>1</v>
      </c>
      <c r="D793" s="39" t="s">
        <v>12</v>
      </c>
      <c r="E793" s="43" t="s">
        <v>13</v>
      </c>
      <c r="F793" s="44">
        <v>3</v>
      </c>
      <c r="G793" s="44">
        <v>0</v>
      </c>
      <c r="H793" s="44">
        <v>2992</v>
      </c>
      <c r="I793" s="44">
        <v>3013</v>
      </c>
    </row>
    <row r="794" spans="1:10" ht="18.75" customHeight="1">
      <c r="A794" s="75" t="s">
        <v>60</v>
      </c>
      <c r="B794" s="41">
        <v>65</v>
      </c>
      <c r="C794" s="41">
        <v>1</v>
      </c>
      <c r="D794" s="39" t="s">
        <v>12</v>
      </c>
      <c r="E794" s="43" t="s">
        <v>13</v>
      </c>
      <c r="F794" s="44">
        <v>3</v>
      </c>
      <c r="G794" s="44">
        <v>0</v>
      </c>
      <c r="H794" s="44">
        <v>5656</v>
      </c>
      <c r="I794" s="44">
        <v>5677</v>
      </c>
    </row>
    <row r="795" spans="1:10" ht="18.75" customHeight="1">
      <c r="A795" s="75" t="s">
        <v>60</v>
      </c>
      <c r="B795" s="41">
        <v>80</v>
      </c>
      <c r="C795" s="41">
        <v>1</v>
      </c>
      <c r="D795" s="39" t="s">
        <v>12</v>
      </c>
      <c r="E795" s="43" t="s">
        <v>13</v>
      </c>
      <c r="F795" s="44">
        <v>3</v>
      </c>
      <c r="G795" s="44">
        <v>0</v>
      </c>
      <c r="H795" s="44">
        <v>3848</v>
      </c>
      <c r="I795" s="44">
        <v>3867</v>
      </c>
    </row>
    <row r="796" spans="1:10" ht="18.75" customHeight="1">
      <c r="A796" s="75" t="s">
        <v>60</v>
      </c>
      <c r="B796" s="41">
        <v>100</v>
      </c>
      <c r="C796" s="41">
        <v>1</v>
      </c>
      <c r="D796" s="39" t="s">
        <v>12</v>
      </c>
      <c r="E796" s="43" t="s">
        <v>13</v>
      </c>
      <c r="F796" s="44">
        <v>4</v>
      </c>
      <c r="G796" s="44">
        <v>0</v>
      </c>
      <c r="H796" s="44">
        <v>2768</v>
      </c>
      <c r="I796" s="44">
        <v>2783</v>
      </c>
    </row>
    <row r="797" spans="1:10" ht="18.75" customHeight="1">
      <c r="A797" s="75" t="s">
        <v>60</v>
      </c>
      <c r="B797" s="41">
        <v>120</v>
      </c>
      <c r="C797" s="41">
        <v>1</v>
      </c>
      <c r="D797" s="39" t="s">
        <v>12</v>
      </c>
      <c r="E797" s="43" t="s">
        <v>13</v>
      </c>
      <c r="F797" s="44">
        <v>4</v>
      </c>
      <c r="G797" s="44">
        <v>0</v>
      </c>
      <c r="H797" s="44">
        <v>4696</v>
      </c>
      <c r="I797" s="44">
        <v>4710</v>
      </c>
    </row>
    <row r="798" spans="1:10" ht="18.75" customHeight="1">
      <c r="A798" s="75" t="s">
        <v>60</v>
      </c>
      <c r="B798" s="41">
        <v>150</v>
      </c>
      <c r="C798" s="41">
        <v>1</v>
      </c>
      <c r="D798" s="39" t="s">
        <v>14</v>
      </c>
      <c r="E798" s="43" t="s">
        <v>15</v>
      </c>
      <c r="F798" s="44">
        <v>4</v>
      </c>
      <c r="G798" s="44">
        <v>0</v>
      </c>
      <c r="H798" s="44">
        <v>4317</v>
      </c>
      <c r="I798" s="44">
        <v>4328</v>
      </c>
      <c r="J798">
        <v>4419</v>
      </c>
    </row>
    <row r="799" spans="1:10" ht="18.75" customHeight="1">
      <c r="A799" s="75" t="s">
        <v>60</v>
      </c>
      <c r="B799" s="41">
        <v>150</v>
      </c>
      <c r="C799" s="41">
        <v>2</v>
      </c>
      <c r="D799" s="39" t="s">
        <v>12</v>
      </c>
      <c r="E799" s="43" t="s">
        <v>13</v>
      </c>
      <c r="F799" s="44">
        <v>3</v>
      </c>
      <c r="G799" s="44">
        <v>0</v>
      </c>
      <c r="H799" s="44">
        <v>3039</v>
      </c>
      <c r="I799" s="44">
        <v>3052</v>
      </c>
    </row>
    <row r="800" spans="1:10" ht="18.75" customHeight="1">
      <c r="A800" s="75" t="s">
        <v>60</v>
      </c>
      <c r="B800" s="41">
        <v>170</v>
      </c>
      <c r="C800" s="41">
        <v>1</v>
      </c>
      <c r="D800" s="39" t="s">
        <v>12</v>
      </c>
      <c r="E800" s="43" t="s">
        <v>13</v>
      </c>
      <c r="F800" s="44">
        <v>4</v>
      </c>
      <c r="G800" s="44">
        <v>0</v>
      </c>
      <c r="H800" s="44">
        <v>8136</v>
      </c>
      <c r="I800" s="44">
        <v>8150</v>
      </c>
    </row>
    <row r="801" spans="1:10" ht="18.75" customHeight="1">
      <c r="A801" s="75" t="s">
        <v>60</v>
      </c>
      <c r="B801" s="41">
        <v>200</v>
      </c>
      <c r="C801" s="41">
        <v>1</v>
      </c>
      <c r="D801" s="39" t="s">
        <v>14</v>
      </c>
      <c r="E801" s="43" t="s">
        <v>15</v>
      </c>
      <c r="F801" s="44">
        <v>5</v>
      </c>
      <c r="G801" s="44">
        <v>1</v>
      </c>
      <c r="H801" s="44">
        <v>5282</v>
      </c>
      <c r="I801" s="44">
        <v>5295</v>
      </c>
      <c r="J801">
        <v>5307</v>
      </c>
    </row>
    <row r="802" spans="1:10" ht="18.75" customHeight="1">
      <c r="A802" s="75" t="s">
        <v>60</v>
      </c>
      <c r="B802" s="41">
        <v>200</v>
      </c>
      <c r="C802" s="41">
        <v>2</v>
      </c>
      <c r="D802" s="39" t="s">
        <v>14</v>
      </c>
      <c r="E802" s="43" t="s">
        <v>15</v>
      </c>
      <c r="F802" s="44">
        <v>6</v>
      </c>
      <c r="G802" s="44">
        <v>1</v>
      </c>
      <c r="H802" s="44">
        <v>3114</v>
      </c>
      <c r="I802" s="44">
        <v>3127</v>
      </c>
      <c r="J802">
        <v>3208</v>
      </c>
    </row>
    <row r="803" spans="1:10" ht="18.75" customHeight="1">
      <c r="A803" s="75" t="s">
        <v>60</v>
      </c>
      <c r="B803" s="41">
        <v>200</v>
      </c>
      <c r="C803" s="41">
        <v>3</v>
      </c>
      <c r="D803" s="39" t="s">
        <v>12</v>
      </c>
      <c r="E803" s="43" t="s">
        <v>13</v>
      </c>
      <c r="F803" s="44">
        <v>4</v>
      </c>
      <c r="G803" s="44">
        <v>1</v>
      </c>
      <c r="H803" s="44">
        <v>3970</v>
      </c>
      <c r="I803" s="44">
        <v>3983</v>
      </c>
    </row>
    <row r="804" spans="1:10" ht="18.75" customHeight="1">
      <c r="A804" s="75" t="s">
        <v>60</v>
      </c>
      <c r="B804" s="41">
        <v>200</v>
      </c>
      <c r="C804" s="41">
        <v>4</v>
      </c>
      <c r="D804" s="39" t="s">
        <v>12</v>
      </c>
      <c r="E804" s="43" t="s">
        <v>13</v>
      </c>
      <c r="F804" s="44">
        <v>4</v>
      </c>
      <c r="G804" s="44">
        <v>1</v>
      </c>
      <c r="H804" s="44">
        <v>2904</v>
      </c>
      <c r="I804" s="44">
        <v>2918</v>
      </c>
    </row>
    <row r="805" spans="1:10" ht="18.75" customHeight="1">
      <c r="A805" s="75" t="s">
        <v>60</v>
      </c>
      <c r="B805" s="41">
        <v>200</v>
      </c>
      <c r="C805" s="41">
        <v>5</v>
      </c>
      <c r="D805" s="39" t="s">
        <v>12</v>
      </c>
      <c r="E805" s="43" t="s">
        <v>13</v>
      </c>
      <c r="F805" s="44">
        <v>3</v>
      </c>
      <c r="G805" s="44">
        <v>1</v>
      </c>
      <c r="H805" s="44">
        <v>3193</v>
      </c>
      <c r="I805" s="44">
        <v>3204</v>
      </c>
    </row>
    <row r="806" spans="1:10" ht="18.75" customHeight="1">
      <c r="A806" s="75" t="s">
        <v>60</v>
      </c>
      <c r="B806" s="41">
        <v>200</v>
      </c>
      <c r="C806" s="41">
        <v>6</v>
      </c>
      <c r="D806" s="39" t="s">
        <v>14</v>
      </c>
      <c r="E806" s="43" t="s">
        <v>15</v>
      </c>
      <c r="F806" s="44">
        <v>5</v>
      </c>
      <c r="G806" s="44">
        <v>1</v>
      </c>
      <c r="H806" s="44">
        <v>4331</v>
      </c>
      <c r="I806" s="44">
        <v>4342</v>
      </c>
      <c r="J806">
        <v>4403</v>
      </c>
    </row>
    <row r="807" spans="1:10" ht="18.75" customHeight="1">
      <c r="A807" s="75" t="s">
        <v>61</v>
      </c>
      <c r="B807" s="41">
        <v>10</v>
      </c>
      <c r="C807" s="41">
        <v>1</v>
      </c>
      <c r="D807" s="39" t="s">
        <v>13</v>
      </c>
      <c r="E807" s="43" t="s">
        <v>13</v>
      </c>
      <c r="F807" s="44">
        <v>6</v>
      </c>
      <c r="G807" s="44">
        <v>0</v>
      </c>
      <c r="H807" s="44">
        <v>1675</v>
      </c>
      <c r="I807" s="44">
        <v>1780</v>
      </c>
    </row>
    <row r="808" spans="1:10" ht="18.75" customHeight="1">
      <c r="A808" s="75" t="s">
        <v>61</v>
      </c>
      <c r="B808" s="41">
        <v>30</v>
      </c>
      <c r="C808" s="41">
        <v>1</v>
      </c>
      <c r="D808" s="39" t="s">
        <v>13</v>
      </c>
      <c r="E808" s="43" t="s">
        <v>13</v>
      </c>
      <c r="F808" s="44">
        <v>6</v>
      </c>
      <c r="G808" s="44">
        <v>0</v>
      </c>
      <c r="H808" s="44">
        <v>1533</v>
      </c>
      <c r="I808" s="44">
        <v>1574</v>
      </c>
    </row>
    <row r="809" spans="1:10" ht="18.75" customHeight="1">
      <c r="A809" s="75" t="s">
        <v>61</v>
      </c>
      <c r="B809" s="41">
        <v>50</v>
      </c>
      <c r="C809" s="41">
        <v>1</v>
      </c>
      <c r="D809" s="39" t="s">
        <v>12</v>
      </c>
      <c r="E809" s="43" t="s">
        <v>13</v>
      </c>
      <c r="F809" s="44">
        <v>7</v>
      </c>
      <c r="G809" s="44">
        <v>0</v>
      </c>
      <c r="H809" s="44">
        <v>932</v>
      </c>
      <c r="I809" s="44">
        <v>957</v>
      </c>
    </row>
    <row r="810" spans="1:10" ht="18.75" customHeight="1">
      <c r="A810" s="75" t="s">
        <v>61</v>
      </c>
      <c r="B810" s="41">
        <v>60</v>
      </c>
      <c r="C810" s="41">
        <v>1</v>
      </c>
      <c r="D810" s="39" t="s">
        <v>13</v>
      </c>
      <c r="E810" s="43" t="s">
        <v>13</v>
      </c>
      <c r="F810" s="44">
        <v>7</v>
      </c>
      <c r="G810" s="44">
        <v>0</v>
      </c>
      <c r="H810" s="44">
        <v>2734</v>
      </c>
      <c r="I810" s="44">
        <v>2756</v>
      </c>
    </row>
    <row r="811" spans="1:10" ht="18.75" customHeight="1">
      <c r="A811" s="75" t="s">
        <v>61</v>
      </c>
      <c r="B811" s="41">
        <v>90</v>
      </c>
      <c r="C811" s="41">
        <v>1</v>
      </c>
      <c r="D811" s="39" t="s">
        <v>12</v>
      </c>
      <c r="E811" s="43" t="s">
        <v>13</v>
      </c>
      <c r="F811" s="44">
        <v>7</v>
      </c>
      <c r="G811" s="44">
        <v>0</v>
      </c>
      <c r="H811" s="44">
        <v>2541</v>
      </c>
      <c r="I811" s="44">
        <v>2559</v>
      </c>
    </row>
    <row r="812" spans="1:10" ht="18.75" customHeight="1">
      <c r="A812" s="75" t="s">
        <v>61</v>
      </c>
      <c r="B812" s="41">
        <v>110</v>
      </c>
      <c r="C812" s="41">
        <v>1</v>
      </c>
      <c r="D812" s="39" t="s">
        <v>12</v>
      </c>
      <c r="E812" s="43" t="s">
        <v>13</v>
      </c>
      <c r="F812" s="44">
        <v>8</v>
      </c>
      <c r="G812" s="44">
        <v>0</v>
      </c>
      <c r="H812" s="44">
        <v>4338</v>
      </c>
      <c r="I812" s="44">
        <v>4353</v>
      </c>
    </row>
    <row r="813" spans="1:10" ht="18.75" customHeight="1">
      <c r="A813" s="75" t="s">
        <v>61</v>
      </c>
      <c r="B813" s="41">
        <v>130</v>
      </c>
      <c r="C813" s="41">
        <v>1</v>
      </c>
      <c r="D813" s="39" t="s">
        <v>16</v>
      </c>
      <c r="E813" s="43" t="s">
        <v>15</v>
      </c>
      <c r="F813" s="44">
        <v>8</v>
      </c>
      <c r="G813" s="44">
        <v>1</v>
      </c>
      <c r="H813" s="44">
        <v>3644</v>
      </c>
      <c r="I813" s="44">
        <v>3657</v>
      </c>
      <c r="J813">
        <v>3698</v>
      </c>
    </row>
    <row r="814" spans="1:10" ht="18.75" customHeight="1">
      <c r="A814" s="75" t="s">
        <v>61</v>
      </c>
      <c r="B814" s="41">
        <v>130</v>
      </c>
      <c r="C814" s="41">
        <v>2</v>
      </c>
      <c r="D814" s="39" t="s">
        <v>16</v>
      </c>
      <c r="E814" s="43" t="s">
        <v>15</v>
      </c>
      <c r="F814" s="44">
        <v>8</v>
      </c>
      <c r="G814" s="44">
        <v>1</v>
      </c>
      <c r="H814" s="44">
        <v>3483</v>
      </c>
      <c r="I814" s="44">
        <v>3497</v>
      </c>
      <c r="J814">
        <v>3520</v>
      </c>
    </row>
    <row r="815" spans="1:10" ht="18.75" customHeight="1">
      <c r="A815" s="75" t="s">
        <v>61</v>
      </c>
      <c r="B815" s="41">
        <v>130</v>
      </c>
      <c r="C815" s="41">
        <v>3</v>
      </c>
      <c r="D815" s="39" t="s">
        <v>12</v>
      </c>
      <c r="E815" s="43" t="s">
        <v>13</v>
      </c>
      <c r="F815" s="44">
        <v>8</v>
      </c>
      <c r="G815" s="44">
        <v>1</v>
      </c>
      <c r="H815" s="44">
        <v>1938</v>
      </c>
      <c r="I815" s="44">
        <v>1951</v>
      </c>
    </row>
    <row r="816" spans="1:10" ht="18.75" customHeight="1">
      <c r="A816" s="75" t="s">
        <v>61</v>
      </c>
      <c r="B816" s="41">
        <v>130</v>
      </c>
      <c r="C816" s="41">
        <v>4</v>
      </c>
      <c r="D816" s="39" t="s">
        <v>16</v>
      </c>
      <c r="E816" s="43" t="s">
        <v>15</v>
      </c>
      <c r="F816" s="44">
        <v>9</v>
      </c>
      <c r="G816" s="44">
        <v>1</v>
      </c>
      <c r="H816" s="44">
        <v>3208</v>
      </c>
      <c r="I816" s="44">
        <v>3221</v>
      </c>
      <c r="J816">
        <v>3248</v>
      </c>
    </row>
    <row r="817" spans="1:10" ht="18.75" customHeight="1">
      <c r="A817" s="75" t="s">
        <v>61</v>
      </c>
      <c r="B817" s="41">
        <v>130</v>
      </c>
      <c r="C817" s="41">
        <v>5</v>
      </c>
      <c r="D817" s="39" t="s">
        <v>12</v>
      </c>
      <c r="E817" s="43" t="s">
        <v>13</v>
      </c>
      <c r="F817" s="44">
        <v>8</v>
      </c>
      <c r="G817" s="44">
        <v>1</v>
      </c>
      <c r="H817" s="44">
        <v>2786</v>
      </c>
      <c r="I817" s="44">
        <v>2799</v>
      </c>
    </row>
    <row r="818" spans="1:10" ht="18.75" customHeight="1">
      <c r="A818" s="75" t="s">
        <v>61</v>
      </c>
      <c r="B818" s="41">
        <v>130</v>
      </c>
      <c r="C818" s="41">
        <v>6</v>
      </c>
      <c r="D818" s="39" t="s">
        <v>14</v>
      </c>
      <c r="E818" s="43" t="s">
        <v>15</v>
      </c>
      <c r="F818" s="44">
        <v>10</v>
      </c>
      <c r="G818" s="44">
        <v>1</v>
      </c>
      <c r="H818" s="44">
        <v>5731</v>
      </c>
      <c r="I818" s="44">
        <v>5744</v>
      </c>
      <c r="J818">
        <v>5764</v>
      </c>
    </row>
    <row r="819" spans="1:10" ht="18.75" customHeight="1">
      <c r="A819" s="75" t="s">
        <v>61</v>
      </c>
      <c r="B819" s="41">
        <v>130</v>
      </c>
      <c r="C819" s="41">
        <v>7</v>
      </c>
      <c r="D819" s="39" t="s">
        <v>12</v>
      </c>
      <c r="E819" s="43" t="s">
        <v>13</v>
      </c>
      <c r="F819" s="44">
        <v>9</v>
      </c>
      <c r="G819" s="44">
        <v>1</v>
      </c>
      <c r="H819" s="44">
        <v>3410</v>
      </c>
      <c r="I819" s="44">
        <v>3423</v>
      </c>
    </row>
    <row r="820" spans="1:10" ht="18.75" customHeight="1">
      <c r="A820" s="75" t="s">
        <v>61</v>
      </c>
      <c r="B820" s="41">
        <v>130</v>
      </c>
      <c r="C820" s="41">
        <v>8</v>
      </c>
      <c r="D820" s="39" t="s">
        <v>12</v>
      </c>
      <c r="E820" s="43" t="s">
        <v>13</v>
      </c>
      <c r="F820" s="44">
        <v>9</v>
      </c>
      <c r="G820" s="44">
        <v>1</v>
      </c>
      <c r="H820" s="44">
        <v>3795</v>
      </c>
      <c r="I820" s="44">
        <v>3809</v>
      </c>
    </row>
    <row r="821" spans="1:10" ht="18.75" customHeight="1">
      <c r="A821" s="75" t="s">
        <v>61</v>
      </c>
      <c r="B821" s="41">
        <v>130</v>
      </c>
      <c r="C821" s="41">
        <v>9</v>
      </c>
      <c r="D821" s="39" t="s">
        <v>14</v>
      </c>
      <c r="E821" s="43" t="s">
        <v>15</v>
      </c>
      <c r="F821" s="44">
        <v>8</v>
      </c>
      <c r="G821" s="44">
        <v>1</v>
      </c>
      <c r="H821" s="44">
        <v>3284</v>
      </c>
      <c r="I821" s="44">
        <v>3297</v>
      </c>
      <c r="J821">
        <v>3315</v>
      </c>
    </row>
    <row r="822" spans="1:10" ht="18.75" customHeight="1">
      <c r="A822" s="75" t="s">
        <v>61</v>
      </c>
      <c r="B822" s="41">
        <v>130</v>
      </c>
      <c r="C822" s="41">
        <v>10</v>
      </c>
      <c r="D822" s="39" t="s">
        <v>14</v>
      </c>
      <c r="E822" s="43" t="s">
        <v>15</v>
      </c>
      <c r="F822" s="44">
        <v>9</v>
      </c>
      <c r="G822" s="44">
        <v>1</v>
      </c>
      <c r="H822" s="44">
        <v>6552</v>
      </c>
      <c r="I822" s="44">
        <v>6565</v>
      </c>
      <c r="J822">
        <v>6582</v>
      </c>
    </row>
    <row r="823" spans="1:10" ht="18.75" customHeight="1">
      <c r="A823" s="75" t="s">
        <v>61</v>
      </c>
      <c r="B823" s="41">
        <v>130</v>
      </c>
      <c r="C823" s="41">
        <v>11</v>
      </c>
      <c r="D823" s="39" t="s">
        <v>12</v>
      </c>
      <c r="E823" s="43" t="s">
        <v>13</v>
      </c>
      <c r="F823" s="44">
        <v>8</v>
      </c>
      <c r="G823" s="44">
        <v>1</v>
      </c>
      <c r="H823" s="44">
        <v>3594</v>
      </c>
      <c r="I823" s="44">
        <v>3608</v>
      </c>
    </row>
    <row r="824" spans="1:10" ht="18.75" customHeight="1">
      <c r="A824" s="75" t="s">
        <v>61</v>
      </c>
      <c r="B824" s="41">
        <v>130</v>
      </c>
      <c r="C824" s="41">
        <v>12</v>
      </c>
      <c r="D824" s="39" t="s">
        <v>12</v>
      </c>
      <c r="E824" s="43" t="s">
        <v>13</v>
      </c>
      <c r="F824" s="44">
        <v>7</v>
      </c>
      <c r="G824" s="44">
        <v>1</v>
      </c>
      <c r="H824" s="44">
        <v>3366</v>
      </c>
      <c r="I824" s="44">
        <v>3379</v>
      </c>
    </row>
    <row r="825" spans="1:10" ht="18.75" customHeight="1">
      <c r="A825" s="75" t="s">
        <v>62</v>
      </c>
      <c r="B825" s="41">
        <v>10</v>
      </c>
      <c r="C825" s="41">
        <v>1</v>
      </c>
      <c r="D825" s="39" t="s">
        <v>13</v>
      </c>
      <c r="E825" s="43" t="s">
        <v>13</v>
      </c>
      <c r="F825" s="44">
        <v>1</v>
      </c>
      <c r="G825" s="44">
        <v>0</v>
      </c>
      <c r="H825" s="44">
        <v>1514</v>
      </c>
      <c r="I825" s="44">
        <v>1619</v>
      </c>
    </row>
    <row r="826" spans="1:10" ht="18.75" customHeight="1">
      <c r="A826" s="75" t="s">
        <v>62</v>
      </c>
      <c r="B826" s="41">
        <v>30</v>
      </c>
      <c r="C826" s="41">
        <v>1</v>
      </c>
      <c r="D826" s="39" t="s">
        <v>14</v>
      </c>
      <c r="E826" s="43" t="s">
        <v>15</v>
      </c>
      <c r="F826" s="44">
        <v>4</v>
      </c>
      <c r="G826" s="44">
        <v>1</v>
      </c>
      <c r="H826" s="44">
        <v>3367</v>
      </c>
      <c r="I826" s="44">
        <v>3405</v>
      </c>
      <c r="J826">
        <v>3394</v>
      </c>
    </row>
    <row r="827" spans="1:10" ht="18.75" customHeight="1">
      <c r="A827" s="75" t="s">
        <v>62</v>
      </c>
      <c r="B827" s="41">
        <v>30</v>
      </c>
      <c r="C827" s="41">
        <v>2</v>
      </c>
      <c r="D827" s="39" t="s">
        <v>14</v>
      </c>
      <c r="E827" s="43" t="s">
        <v>15</v>
      </c>
      <c r="F827" s="44">
        <v>5</v>
      </c>
      <c r="G827" s="44">
        <v>1</v>
      </c>
      <c r="H827" s="44">
        <v>3866</v>
      </c>
      <c r="I827" s="44">
        <v>3904</v>
      </c>
      <c r="J827">
        <v>3892</v>
      </c>
    </row>
    <row r="828" spans="1:10" ht="18.75" customHeight="1">
      <c r="A828" s="75" t="s">
        <v>62</v>
      </c>
      <c r="B828" s="41">
        <v>30</v>
      </c>
      <c r="C828" s="41">
        <v>3</v>
      </c>
      <c r="D828" s="39" t="s">
        <v>16</v>
      </c>
      <c r="E828" s="43" t="s">
        <v>15</v>
      </c>
      <c r="F828" s="44">
        <v>3</v>
      </c>
      <c r="G828" s="44">
        <v>1</v>
      </c>
      <c r="H828" s="44">
        <v>3180</v>
      </c>
      <c r="I828" s="44">
        <v>3218</v>
      </c>
      <c r="J828">
        <v>3239</v>
      </c>
    </row>
    <row r="829" spans="1:10" ht="18.75" customHeight="1">
      <c r="A829" s="75" t="s">
        <v>62</v>
      </c>
      <c r="B829" s="41">
        <v>30</v>
      </c>
      <c r="C829" s="41">
        <v>4</v>
      </c>
      <c r="D829" s="39" t="s">
        <v>14</v>
      </c>
      <c r="E829" s="43" t="s">
        <v>15</v>
      </c>
      <c r="F829" s="44">
        <v>5</v>
      </c>
      <c r="G829" s="44">
        <v>1</v>
      </c>
      <c r="H829" s="44">
        <v>4686</v>
      </c>
      <c r="I829" s="44">
        <v>4722</v>
      </c>
      <c r="J829">
        <v>4707</v>
      </c>
    </row>
    <row r="830" spans="1:10" ht="18.75" customHeight="1">
      <c r="A830" s="75" t="s">
        <v>62</v>
      </c>
      <c r="B830" s="41">
        <v>20</v>
      </c>
      <c r="C830" s="41">
        <v>1</v>
      </c>
      <c r="D830" s="39" t="s">
        <v>12</v>
      </c>
      <c r="E830" s="43" t="s">
        <v>13</v>
      </c>
      <c r="F830" s="44">
        <v>3</v>
      </c>
      <c r="G830" s="44">
        <v>0</v>
      </c>
      <c r="H830" s="44">
        <v>3777</v>
      </c>
      <c r="I830" s="44">
        <v>3829</v>
      </c>
    </row>
    <row r="831" spans="1:10" ht="18.75" customHeight="1">
      <c r="A831" s="75" t="s">
        <v>62</v>
      </c>
      <c r="B831" s="41">
        <v>20</v>
      </c>
      <c r="C831" s="41">
        <v>2</v>
      </c>
      <c r="D831" s="39" t="s">
        <v>13</v>
      </c>
      <c r="E831" s="43" t="s">
        <v>13</v>
      </c>
      <c r="F831" s="44">
        <v>2</v>
      </c>
      <c r="G831" s="44">
        <v>0</v>
      </c>
      <c r="H831" s="44">
        <v>4079</v>
      </c>
      <c r="I831" s="44">
        <v>4134</v>
      </c>
    </row>
    <row r="832" spans="1:10" ht="18.75" customHeight="1">
      <c r="A832" s="75" t="s">
        <v>62</v>
      </c>
      <c r="B832" s="41">
        <v>20</v>
      </c>
      <c r="C832" s="41">
        <v>3</v>
      </c>
      <c r="D832" s="39" t="s">
        <v>12</v>
      </c>
      <c r="E832" s="43" t="s">
        <v>13</v>
      </c>
      <c r="F832" s="44">
        <v>2</v>
      </c>
      <c r="G832" s="44">
        <v>0</v>
      </c>
      <c r="H832" s="44">
        <v>3405</v>
      </c>
      <c r="I832" s="44">
        <v>3460</v>
      </c>
    </row>
    <row r="833" spans="1:10" ht="18.75" customHeight="1">
      <c r="A833" s="75" t="s">
        <v>62</v>
      </c>
      <c r="B833" s="41">
        <v>25</v>
      </c>
      <c r="C833" s="41">
        <v>1</v>
      </c>
      <c r="D833" s="39" t="s">
        <v>12</v>
      </c>
      <c r="E833" s="43" t="s">
        <v>13</v>
      </c>
      <c r="F833" s="44">
        <v>3</v>
      </c>
      <c r="G833" s="44">
        <v>0</v>
      </c>
      <c r="H833" s="44">
        <v>3484</v>
      </c>
      <c r="I833" s="44">
        <v>3528</v>
      </c>
    </row>
    <row r="834" spans="1:10" ht="18.75" customHeight="1">
      <c r="A834" s="75" t="s">
        <v>62</v>
      </c>
      <c r="B834" s="41">
        <v>25</v>
      </c>
      <c r="C834" s="41">
        <v>2</v>
      </c>
      <c r="D834" s="39" t="s">
        <v>12</v>
      </c>
      <c r="E834" s="43" t="s">
        <v>13</v>
      </c>
      <c r="F834" s="44">
        <v>4</v>
      </c>
      <c r="G834" s="44">
        <v>0</v>
      </c>
      <c r="H834" s="44">
        <v>2630</v>
      </c>
      <c r="I834" s="44">
        <v>2673</v>
      </c>
    </row>
    <row r="835" spans="1:10" ht="18.75" customHeight="1">
      <c r="A835" s="75" t="s">
        <v>62</v>
      </c>
      <c r="B835" s="41">
        <v>25</v>
      </c>
      <c r="C835" s="41">
        <v>3</v>
      </c>
      <c r="D835" s="39" t="s">
        <v>12</v>
      </c>
      <c r="E835" s="43" t="s">
        <v>13</v>
      </c>
      <c r="F835" s="44">
        <v>2</v>
      </c>
      <c r="G835" s="44">
        <v>0</v>
      </c>
      <c r="H835" s="44">
        <v>4168</v>
      </c>
      <c r="I835" s="44">
        <v>4213</v>
      </c>
    </row>
    <row r="836" spans="1:10" ht="18.75" customHeight="1">
      <c r="A836" s="75" t="s">
        <v>62</v>
      </c>
      <c r="B836" s="41">
        <v>30</v>
      </c>
      <c r="C836" s="41">
        <v>5</v>
      </c>
      <c r="D836" s="39" t="s">
        <v>16</v>
      </c>
      <c r="E836" s="43" t="s">
        <v>15</v>
      </c>
      <c r="F836" s="44">
        <v>4</v>
      </c>
      <c r="G836" s="44">
        <v>1</v>
      </c>
      <c r="H836" s="44">
        <v>2560</v>
      </c>
      <c r="I836" s="44">
        <v>2598</v>
      </c>
      <c r="J836">
        <v>2614</v>
      </c>
    </row>
    <row r="837" spans="1:10" ht="18.75" customHeight="1">
      <c r="A837" s="75" t="s">
        <v>62</v>
      </c>
      <c r="B837" s="41">
        <v>27</v>
      </c>
      <c r="C837" s="41">
        <v>1</v>
      </c>
      <c r="D837" s="39" t="s">
        <v>12</v>
      </c>
      <c r="E837" s="43" t="s">
        <v>13</v>
      </c>
      <c r="F837" s="44">
        <v>4</v>
      </c>
      <c r="G837" s="44">
        <v>0</v>
      </c>
      <c r="H837" s="44">
        <v>3206</v>
      </c>
      <c r="I837" s="44">
        <v>3246</v>
      </c>
    </row>
    <row r="838" spans="1:10" ht="18.75" customHeight="1">
      <c r="A838" s="75" t="s">
        <v>62</v>
      </c>
      <c r="B838" s="41">
        <v>27</v>
      </c>
      <c r="C838" s="41">
        <v>2</v>
      </c>
      <c r="D838" s="39" t="s">
        <v>12</v>
      </c>
      <c r="E838" s="43" t="s">
        <v>13</v>
      </c>
      <c r="F838" s="44">
        <v>4</v>
      </c>
      <c r="G838" s="44">
        <v>0</v>
      </c>
      <c r="H838" s="44">
        <v>4214</v>
      </c>
      <c r="I838" s="44">
        <v>4257</v>
      </c>
    </row>
    <row r="839" spans="1:10" ht="18.75" customHeight="1">
      <c r="A839" s="75" t="s">
        <v>62</v>
      </c>
      <c r="B839" s="41">
        <v>29</v>
      </c>
      <c r="C839" s="41">
        <v>1</v>
      </c>
      <c r="D839" s="39" t="s">
        <v>12</v>
      </c>
      <c r="E839" s="43" t="s">
        <v>13</v>
      </c>
      <c r="F839" s="44">
        <v>3</v>
      </c>
      <c r="G839" s="44">
        <v>0</v>
      </c>
      <c r="H839" s="44">
        <v>2375</v>
      </c>
      <c r="I839" s="44">
        <v>2414</v>
      </c>
    </row>
    <row r="840" spans="1:10" ht="18.75" customHeight="1">
      <c r="A840" s="75" t="s">
        <v>62</v>
      </c>
      <c r="B840" s="41">
        <v>30</v>
      </c>
      <c r="C840" s="41">
        <v>6</v>
      </c>
      <c r="D840" s="39" t="s">
        <v>12</v>
      </c>
      <c r="E840" s="43" t="s">
        <v>13</v>
      </c>
      <c r="F840" s="44">
        <v>4</v>
      </c>
      <c r="G840" s="44">
        <v>1</v>
      </c>
      <c r="H840" s="44">
        <v>3533</v>
      </c>
      <c r="I840" s="44">
        <v>3571</v>
      </c>
    </row>
    <row r="841" spans="1:10" ht="18.75" customHeight="1">
      <c r="A841" s="75" t="s">
        <v>62</v>
      </c>
      <c r="B841" s="41">
        <v>30</v>
      </c>
      <c r="C841" s="41">
        <v>7</v>
      </c>
      <c r="D841" s="39" t="s">
        <v>12</v>
      </c>
      <c r="E841" s="43" t="s">
        <v>13</v>
      </c>
      <c r="F841" s="44">
        <v>2</v>
      </c>
      <c r="G841" s="44">
        <v>1</v>
      </c>
      <c r="H841" s="44">
        <v>3736</v>
      </c>
      <c r="I841" s="44">
        <v>3774</v>
      </c>
    </row>
    <row r="842" spans="1:10" ht="18.75" customHeight="1">
      <c r="A842" s="75" t="s">
        <v>62</v>
      </c>
      <c r="B842" s="41">
        <v>30</v>
      </c>
      <c r="C842" s="41">
        <v>8</v>
      </c>
      <c r="D842" s="39" t="s">
        <v>13</v>
      </c>
      <c r="E842" s="43" t="s">
        <v>13</v>
      </c>
      <c r="F842" s="44">
        <v>2</v>
      </c>
      <c r="G842" s="44">
        <v>1</v>
      </c>
      <c r="H842" s="44">
        <v>2535</v>
      </c>
      <c r="I842" s="44">
        <v>2573</v>
      </c>
    </row>
    <row r="843" spans="1:10" ht="18.75" customHeight="1">
      <c r="A843" s="75" t="s">
        <v>62</v>
      </c>
      <c r="B843" s="41">
        <v>30</v>
      </c>
      <c r="C843" s="41">
        <v>9</v>
      </c>
      <c r="D843" s="39" t="s">
        <v>13</v>
      </c>
      <c r="E843" s="43" t="s">
        <v>13</v>
      </c>
      <c r="F843" s="44">
        <v>2</v>
      </c>
      <c r="G843" s="44">
        <v>1</v>
      </c>
      <c r="H843" s="44">
        <v>4011</v>
      </c>
      <c r="I843" s="44">
        <v>4049</v>
      </c>
    </row>
    <row r="844" spans="1:10" ht="18.75" customHeight="1">
      <c r="A844" s="75" t="s">
        <v>62</v>
      </c>
      <c r="B844" s="41">
        <v>40</v>
      </c>
      <c r="C844" s="41">
        <v>1</v>
      </c>
      <c r="D844" s="39" t="s">
        <v>14</v>
      </c>
      <c r="E844" s="43" t="s">
        <v>15</v>
      </c>
      <c r="F844" s="44">
        <v>6</v>
      </c>
      <c r="G844" s="44">
        <v>0</v>
      </c>
      <c r="H844" s="44">
        <v>4144</v>
      </c>
      <c r="I844" s="44">
        <v>4173</v>
      </c>
      <c r="J844">
        <v>4180</v>
      </c>
    </row>
    <row r="845" spans="1:10" ht="18.75" customHeight="1">
      <c r="A845" s="75" t="s">
        <v>62</v>
      </c>
      <c r="B845" s="41">
        <v>40</v>
      </c>
      <c r="C845" s="41">
        <v>2</v>
      </c>
      <c r="D845" s="39" t="s">
        <v>12</v>
      </c>
      <c r="E845" s="43" t="s">
        <v>13</v>
      </c>
      <c r="F845" s="44">
        <v>4</v>
      </c>
      <c r="G845" s="44">
        <v>0</v>
      </c>
      <c r="H845" s="44">
        <v>3095</v>
      </c>
      <c r="I845" s="44">
        <v>3126</v>
      </c>
    </row>
    <row r="846" spans="1:10" ht="18.75" customHeight="1">
      <c r="A846" s="75" t="s">
        <v>62</v>
      </c>
      <c r="B846" s="41">
        <v>40</v>
      </c>
      <c r="C846" s="41">
        <v>3</v>
      </c>
      <c r="D846" s="39" t="s">
        <v>12</v>
      </c>
      <c r="E846" s="43" t="s">
        <v>13</v>
      </c>
      <c r="F846" s="44">
        <v>6</v>
      </c>
      <c r="G846" s="44">
        <v>0</v>
      </c>
      <c r="H846" s="44">
        <v>4904</v>
      </c>
      <c r="I846" s="44">
        <v>4934</v>
      </c>
    </row>
    <row r="847" spans="1:10" ht="18.75" customHeight="1">
      <c r="A847" s="75" t="s">
        <v>63</v>
      </c>
      <c r="B847" s="41">
        <v>10</v>
      </c>
      <c r="C847" s="41">
        <v>1</v>
      </c>
      <c r="D847" s="39" t="s">
        <v>13</v>
      </c>
      <c r="E847" s="43" t="s">
        <v>13</v>
      </c>
      <c r="F847" s="44">
        <v>1</v>
      </c>
      <c r="G847" s="44">
        <v>0</v>
      </c>
      <c r="H847" s="44">
        <v>2487</v>
      </c>
      <c r="I847" s="44">
        <v>2592</v>
      </c>
    </row>
    <row r="848" spans="1:10" ht="18.75" customHeight="1">
      <c r="A848" s="75" t="s">
        <v>63</v>
      </c>
      <c r="B848" s="41">
        <v>30</v>
      </c>
      <c r="C848" s="41">
        <v>1</v>
      </c>
      <c r="D848" s="39" t="s">
        <v>12</v>
      </c>
      <c r="E848" s="43" t="s">
        <v>13</v>
      </c>
      <c r="F848" s="44">
        <v>2</v>
      </c>
      <c r="G848" s="44">
        <v>0</v>
      </c>
      <c r="H848" s="44">
        <v>1881</v>
      </c>
      <c r="I848" s="44">
        <v>1918</v>
      </c>
    </row>
    <row r="849" spans="1:10" ht="18.75" customHeight="1">
      <c r="A849" s="75" t="s">
        <v>63</v>
      </c>
      <c r="B849" s="41">
        <v>50</v>
      </c>
      <c r="C849" s="41">
        <v>1</v>
      </c>
      <c r="D849" s="39" t="s">
        <v>14</v>
      </c>
      <c r="E849" s="43" t="s">
        <v>15</v>
      </c>
      <c r="F849" s="44">
        <v>4</v>
      </c>
      <c r="G849" s="44">
        <v>0</v>
      </c>
      <c r="H849" s="44">
        <v>3811</v>
      </c>
      <c r="I849" s="44">
        <v>3834</v>
      </c>
      <c r="J849">
        <v>3838</v>
      </c>
    </row>
    <row r="850" spans="1:10" ht="18.75" customHeight="1">
      <c r="A850" s="75" t="s">
        <v>63</v>
      </c>
      <c r="B850" s="41">
        <v>50</v>
      </c>
      <c r="C850" s="41">
        <v>2</v>
      </c>
      <c r="D850" s="39" t="s">
        <v>14</v>
      </c>
      <c r="E850" s="43" t="s">
        <v>15</v>
      </c>
      <c r="F850" s="44">
        <v>4</v>
      </c>
      <c r="G850" s="44">
        <v>0</v>
      </c>
      <c r="H850" s="44">
        <v>2916</v>
      </c>
      <c r="I850" s="44">
        <v>2941</v>
      </c>
      <c r="J850">
        <v>2947</v>
      </c>
    </row>
    <row r="851" spans="1:10" ht="18.75" customHeight="1">
      <c r="A851" s="75" t="s">
        <v>63</v>
      </c>
      <c r="B851" s="41">
        <v>40</v>
      </c>
      <c r="C851" s="41">
        <v>1</v>
      </c>
      <c r="D851" s="39" t="s">
        <v>14</v>
      </c>
      <c r="E851" s="43" t="s">
        <v>15</v>
      </c>
      <c r="F851" s="44">
        <v>5</v>
      </c>
      <c r="G851" s="44">
        <v>0</v>
      </c>
      <c r="H851" s="44">
        <v>3627</v>
      </c>
      <c r="I851" s="44">
        <v>3655</v>
      </c>
      <c r="J851">
        <v>3655</v>
      </c>
    </row>
    <row r="852" spans="1:10" ht="18.75" customHeight="1">
      <c r="A852" s="75" t="s">
        <v>63</v>
      </c>
      <c r="B852" s="41">
        <v>35</v>
      </c>
      <c r="C852" s="41">
        <v>1</v>
      </c>
      <c r="D852" s="39" t="s">
        <v>12</v>
      </c>
      <c r="E852" s="43" t="s">
        <v>13</v>
      </c>
      <c r="F852" s="44">
        <v>2</v>
      </c>
      <c r="G852" s="44">
        <v>1</v>
      </c>
      <c r="H852" s="44">
        <v>2543</v>
      </c>
      <c r="I852" s="44">
        <v>2577</v>
      </c>
    </row>
    <row r="853" spans="1:10" ht="18.75" customHeight="1">
      <c r="A853" s="75" t="s">
        <v>63</v>
      </c>
      <c r="B853" s="41">
        <v>35</v>
      </c>
      <c r="C853" s="41">
        <v>2</v>
      </c>
      <c r="D853" s="39" t="s">
        <v>16</v>
      </c>
      <c r="E853" s="43" t="s">
        <v>15</v>
      </c>
      <c r="F853" s="44">
        <v>3</v>
      </c>
      <c r="G853" s="44">
        <v>1</v>
      </c>
      <c r="H853" s="44">
        <v>2895</v>
      </c>
      <c r="I853" s="44">
        <v>2928</v>
      </c>
      <c r="J853">
        <v>2946</v>
      </c>
    </row>
    <row r="854" spans="1:10" ht="18.75" customHeight="1">
      <c r="A854" s="75" t="s">
        <v>63</v>
      </c>
      <c r="B854" s="41">
        <v>35</v>
      </c>
      <c r="C854" s="41">
        <v>3</v>
      </c>
      <c r="D854" s="39" t="s">
        <v>14</v>
      </c>
      <c r="E854" s="43" t="s">
        <v>15</v>
      </c>
      <c r="F854" s="44">
        <v>3</v>
      </c>
      <c r="G854" s="44">
        <v>1</v>
      </c>
      <c r="H854" s="44">
        <v>3728</v>
      </c>
      <c r="I854" s="44">
        <v>3765</v>
      </c>
      <c r="J854">
        <v>3760</v>
      </c>
    </row>
    <row r="855" spans="1:10" ht="18.75" customHeight="1">
      <c r="A855" s="75" t="s">
        <v>63</v>
      </c>
      <c r="B855" s="41">
        <v>35</v>
      </c>
      <c r="C855" s="41">
        <v>4</v>
      </c>
      <c r="D855" s="39" t="s">
        <v>12</v>
      </c>
      <c r="E855" s="43" t="s">
        <v>13</v>
      </c>
      <c r="F855" s="44">
        <v>2</v>
      </c>
      <c r="G855" s="44">
        <v>1</v>
      </c>
      <c r="H855" s="44">
        <v>3798</v>
      </c>
      <c r="I855" s="44">
        <v>3832</v>
      </c>
    </row>
    <row r="856" spans="1:10" ht="18.75" customHeight="1">
      <c r="A856" s="75" t="s">
        <v>63</v>
      </c>
      <c r="B856" s="41">
        <v>35</v>
      </c>
      <c r="C856" s="41">
        <v>5</v>
      </c>
      <c r="D856" s="39" t="s">
        <v>16</v>
      </c>
      <c r="E856" s="43" t="s">
        <v>15</v>
      </c>
      <c r="F856" s="44">
        <v>4</v>
      </c>
      <c r="G856" s="44">
        <v>1</v>
      </c>
      <c r="H856" s="44">
        <v>4211</v>
      </c>
      <c r="I856" s="44">
        <v>4244</v>
      </c>
      <c r="J856">
        <v>4273</v>
      </c>
    </row>
    <row r="857" spans="1:10" ht="18.75" customHeight="1">
      <c r="A857" s="75" t="s">
        <v>63</v>
      </c>
      <c r="B857" s="41">
        <v>35</v>
      </c>
      <c r="C857" s="41">
        <v>6</v>
      </c>
      <c r="D857" s="39" t="s">
        <v>12</v>
      </c>
      <c r="E857" s="43" t="s">
        <v>13</v>
      </c>
      <c r="F857" s="44">
        <v>2</v>
      </c>
      <c r="G857" s="44">
        <v>1</v>
      </c>
      <c r="H857" s="44">
        <v>3686</v>
      </c>
      <c r="I857" s="44">
        <v>3720</v>
      </c>
    </row>
    <row r="858" spans="1:10" ht="18.75" customHeight="1">
      <c r="A858" s="75" t="s">
        <v>63</v>
      </c>
      <c r="B858" s="41">
        <v>35</v>
      </c>
      <c r="C858" s="41">
        <v>7</v>
      </c>
      <c r="D858" s="39" t="s">
        <v>12</v>
      </c>
      <c r="E858" s="43" t="s">
        <v>13</v>
      </c>
      <c r="F858" s="44">
        <v>2</v>
      </c>
      <c r="G858" s="44">
        <v>1</v>
      </c>
      <c r="H858" s="44">
        <v>3335</v>
      </c>
      <c r="I858" s="44">
        <v>3369</v>
      </c>
    </row>
    <row r="859" spans="1:10" ht="18.75" customHeight="1">
      <c r="A859" s="75" t="s">
        <v>63</v>
      </c>
      <c r="B859" s="41">
        <v>35</v>
      </c>
      <c r="C859" s="41">
        <v>8</v>
      </c>
      <c r="D859" s="39" t="s">
        <v>12</v>
      </c>
      <c r="E859" s="43" t="s">
        <v>13</v>
      </c>
      <c r="F859" s="44">
        <v>2</v>
      </c>
      <c r="G859" s="44">
        <v>1</v>
      </c>
      <c r="H859" s="44">
        <v>5359</v>
      </c>
      <c r="I859" s="44">
        <v>5392</v>
      </c>
    </row>
    <row r="860" spans="1:10" ht="18.75" customHeight="1">
      <c r="A860" s="75" t="s">
        <v>63</v>
      </c>
      <c r="B860" s="41">
        <v>35</v>
      </c>
      <c r="C860" s="41">
        <v>9</v>
      </c>
      <c r="D860" s="39" t="s">
        <v>16</v>
      </c>
      <c r="E860" s="43" t="s">
        <v>15</v>
      </c>
      <c r="F860" s="44">
        <v>5</v>
      </c>
      <c r="G860" s="44">
        <v>1</v>
      </c>
      <c r="H860" s="44">
        <v>3325</v>
      </c>
      <c r="I860" s="44">
        <v>3358</v>
      </c>
      <c r="J860">
        <v>3425</v>
      </c>
    </row>
    <row r="861" spans="1:10" ht="18.75" customHeight="1">
      <c r="A861" s="75" t="s">
        <v>63</v>
      </c>
      <c r="B861" s="41">
        <v>35</v>
      </c>
      <c r="C861" s="41">
        <v>10</v>
      </c>
      <c r="D861" s="39" t="s">
        <v>12</v>
      </c>
      <c r="E861" s="43" t="s">
        <v>13</v>
      </c>
      <c r="F861" s="44">
        <v>3</v>
      </c>
      <c r="G861" s="44">
        <v>1</v>
      </c>
      <c r="H861" s="44">
        <v>3658</v>
      </c>
      <c r="I861" s="44">
        <v>3692</v>
      </c>
    </row>
    <row r="862" spans="1:10" ht="18.75" customHeight="1">
      <c r="A862" s="75" t="s">
        <v>63</v>
      </c>
      <c r="B862" s="41">
        <v>35</v>
      </c>
      <c r="C862" s="41">
        <v>11</v>
      </c>
      <c r="D862" s="39" t="s">
        <v>12</v>
      </c>
      <c r="E862" s="43" t="s">
        <v>13</v>
      </c>
      <c r="F862" s="44">
        <v>3</v>
      </c>
      <c r="G862" s="44">
        <v>1</v>
      </c>
      <c r="H862" s="44">
        <v>3119</v>
      </c>
      <c r="I862" s="44">
        <v>3151</v>
      </c>
    </row>
    <row r="863" spans="1:10" ht="18.75" customHeight="1">
      <c r="A863" s="75" t="s">
        <v>63</v>
      </c>
      <c r="B863" s="41">
        <v>40</v>
      </c>
      <c r="C863" s="41">
        <v>2</v>
      </c>
      <c r="D863" s="39" t="s">
        <v>12</v>
      </c>
      <c r="E863" s="43" t="s">
        <v>13</v>
      </c>
      <c r="F863" s="44">
        <v>2</v>
      </c>
      <c r="G863" s="44">
        <v>0</v>
      </c>
      <c r="H863" s="44">
        <v>4017</v>
      </c>
      <c r="I863" s="44">
        <v>4047</v>
      </c>
    </row>
    <row r="864" spans="1:10" ht="18.75" customHeight="1">
      <c r="A864" s="75" t="s">
        <v>63</v>
      </c>
      <c r="B864" s="41">
        <v>40</v>
      </c>
      <c r="C864" s="41">
        <v>3</v>
      </c>
      <c r="D864" s="39" t="s">
        <v>16</v>
      </c>
      <c r="E864" s="43" t="s">
        <v>15</v>
      </c>
      <c r="F864" s="44">
        <v>4</v>
      </c>
      <c r="G864" s="44">
        <v>0</v>
      </c>
      <c r="H864" s="44">
        <v>5791</v>
      </c>
      <c r="I864" s="44">
        <v>5821</v>
      </c>
      <c r="J864">
        <v>5851</v>
      </c>
    </row>
    <row r="865" spans="1:10" ht="18.75" customHeight="1">
      <c r="A865" s="75" t="s">
        <v>63</v>
      </c>
      <c r="B865" s="41">
        <v>40</v>
      </c>
      <c r="C865" s="41">
        <v>4</v>
      </c>
      <c r="D865" s="39" t="s">
        <v>16</v>
      </c>
      <c r="E865" s="43" t="s">
        <v>15</v>
      </c>
      <c r="F865" s="44">
        <v>4</v>
      </c>
      <c r="G865" s="44">
        <v>0</v>
      </c>
      <c r="H865" s="44">
        <v>3142</v>
      </c>
      <c r="I865" s="44">
        <v>3172</v>
      </c>
      <c r="J865">
        <v>3186</v>
      </c>
    </row>
    <row r="866" spans="1:10" ht="18.75" customHeight="1">
      <c r="A866" s="75" t="s">
        <v>63</v>
      </c>
      <c r="B866" s="41">
        <v>20</v>
      </c>
      <c r="C866" s="41">
        <v>1</v>
      </c>
      <c r="D866" s="39" t="s">
        <v>12</v>
      </c>
      <c r="E866" s="43" t="s">
        <v>13</v>
      </c>
      <c r="F866" s="44">
        <v>2</v>
      </c>
      <c r="G866" s="44">
        <v>0</v>
      </c>
      <c r="H866" s="44">
        <v>3869</v>
      </c>
      <c r="I866" s="44">
        <v>3924</v>
      </c>
    </row>
    <row r="867" spans="1:10" ht="18.75" customHeight="1">
      <c r="A867" s="75" t="s">
        <v>64</v>
      </c>
      <c r="B867" s="41">
        <v>10</v>
      </c>
      <c r="C867" s="41">
        <v>1</v>
      </c>
      <c r="D867" s="39" t="s">
        <v>13</v>
      </c>
      <c r="E867" s="43" t="s">
        <v>13</v>
      </c>
      <c r="F867" s="44">
        <v>4</v>
      </c>
      <c r="G867" s="44">
        <v>0</v>
      </c>
      <c r="H867" s="44">
        <v>3634</v>
      </c>
      <c r="I867" s="44">
        <v>3740</v>
      </c>
    </row>
    <row r="868" spans="1:10" ht="18.75" customHeight="1">
      <c r="A868" s="75" t="s">
        <v>64</v>
      </c>
      <c r="B868" s="41">
        <v>20</v>
      </c>
      <c r="C868" s="41">
        <v>1</v>
      </c>
      <c r="D868" s="39" t="s">
        <v>12</v>
      </c>
      <c r="E868" s="43" t="s">
        <v>13</v>
      </c>
      <c r="F868" s="44">
        <v>8</v>
      </c>
      <c r="G868" s="44">
        <v>0</v>
      </c>
      <c r="H868" s="44">
        <v>2427</v>
      </c>
      <c r="I868" s="44">
        <v>2482</v>
      </c>
    </row>
    <row r="869" spans="1:10" ht="18.75" customHeight="1">
      <c r="A869" s="75" t="s">
        <v>64</v>
      </c>
      <c r="B869" s="41">
        <v>25</v>
      </c>
      <c r="C869" s="41">
        <v>1</v>
      </c>
      <c r="D869" s="39" t="s">
        <v>16</v>
      </c>
      <c r="E869" s="43" t="s">
        <v>15</v>
      </c>
      <c r="F869" s="44" t="s">
        <v>65</v>
      </c>
      <c r="G869" s="44">
        <v>0</v>
      </c>
      <c r="H869" s="44">
        <v>3108</v>
      </c>
      <c r="I869" s="44">
        <v>3150</v>
      </c>
      <c r="J869">
        <v>3151</v>
      </c>
    </row>
    <row r="870" spans="1:10" ht="18.75" customHeight="1">
      <c r="A870" s="75" t="s">
        <v>64</v>
      </c>
      <c r="B870" s="41">
        <v>25</v>
      </c>
      <c r="C870" s="41">
        <v>2</v>
      </c>
      <c r="D870" s="39" t="s">
        <v>12</v>
      </c>
      <c r="E870" s="43" t="s">
        <v>13</v>
      </c>
      <c r="F870" s="44">
        <v>4</v>
      </c>
      <c r="G870" s="44">
        <v>0</v>
      </c>
      <c r="H870" s="44">
        <v>3202</v>
      </c>
      <c r="I870" s="44">
        <v>3245</v>
      </c>
    </row>
    <row r="871" spans="1:10" ht="18.75" customHeight="1">
      <c r="A871" s="75" t="s">
        <v>64</v>
      </c>
      <c r="B871" s="41">
        <v>25</v>
      </c>
      <c r="C871" s="41">
        <v>3</v>
      </c>
      <c r="D871" s="39" t="s">
        <v>12</v>
      </c>
      <c r="E871" s="43" t="s">
        <v>13</v>
      </c>
      <c r="F871" s="44">
        <v>8</v>
      </c>
      <c r="G871" s="44">
        <v>0</v>
      </c>
      <c r="H871" s="44">
        <v>5567</v>
      </c>
      <c r="I871" s="44">
        <v>5610</v>
      </c>
    </row>
    <row r="872" spans="1:10" ht="18.75" customHeight="1">
      <c r="A872" s="75" t="s">
        <v>64</v>
      </c>
      <c r="B872" s="41">
        <v>25</v>
      </c>
      <c r="C872" s="41">
        <v>4</v>
      </c>
      <c r="D872" s="39" t="s">
        <v>12</v>
      </c>
      <c r="E872" s="43" t="s">
        <v>13</v>
      </c>
      <c r="F872" s="44">
        <v>7</v>
      </c>
      <c r="G872" s="44">
        <v>0</v>
      </c>
      <c r="H872" s="44">
        <v>2762</v>
      </c>
      <c r="I872" s="44">
        <v>2805</v>
      </c>
    </row>
    <row r="873" spans="1:10" ht="18.75" customHeight="1">
      <c r="A873" s="75" t="s">
        <v>64</v>
      </c>
      <c r="B873" s="41">
        <v>30</v>
      </c>
      <c r="C873" s="41">
        <v>1</v>
      </c>
      <c r="D873" s="39" t="s">
        <v>16</v>
      </c>
      <c r="E873" s="43" t="s">
        <v>15</v>
      </c>
      <c r="F873" s="44">
        <v>7</v>
      </c>
      <c r="G873" s="44">
        <v>1</v>
      </c>
      <c r="H873" s="44">
        <v>3032</v>
      </c>
      <c r="I873" s="44">
        <v>3068</v>
      </c>
      <c r="J873">
        <v>3067</v>
      </c>
    </row>
    <row r="874" spans="1:10" ht="18.75" customHeight="1">
      <c r="A874" s="75" t="s">
        <v>64</v>
      </c>
      <c r="B874" s="41">
        <v>30</v>
      </c>
      <c r="C874" s="41">
        <v>2</v>
      </c>
      <c r="D874" s="39" t="s">
        <v>16</v>
      </c>
      <c r="E874" s="43" t="s">
        <v>15</v>
      </c>
      <c r="F874" s="44">
        <v>6</v>
      </c>
      <c r="G874" s="44">
        <v>1</v>
      </c>
      <c r="H874" s="44">
        <v>4348</v>
      </c>
      <c r="I874" s="44">
        <v>4386</v>
      </c>
      <c r="J874">
        <v>4372</v>
      </c>
    </row>
    <row r="875" spans="1:10" ht="18.75" customHeight="1">
      <c r="A875" s="75" t="s">
        <v>64</v>
      </c>
      <c r="B875" s="41">
        <v>30</v>
      </c>
      <c r="C875" s="41">
        <v>3</v>
      </c>
      <c r="D875" s="39" t="s">
        <v>14</v>
      </c>
      <c r="E875" s="43" t="s">
        <v>15</v>
      </c>
      <c r="F875" s="44">
        <v>9</v>
      </c>
      <c r="G875" s="44">
        <v>1</v>
      </c>
      <c r="H875" s="44">
        <v>2009</v>
      </c>
      <c r="I875" s="44">
        <v>2046</v>
      </c>
      <c r="J875">
        <v>2057</v>
      </c>
    </row>
    <row r="876" spans="1:10" ht="18.75" customHeight="1">
      <c r="A876" s="75" t="s">
        <v>64</v>
      </c>
      <c r="B876" s="41">
        <v>30</v>
      </c>
      <c r="C876" s="41">
        <v>4</v>
      </c>
      <c r="D876" s="39" t="s">
        <v>12</v>
      </c>
      <c r="E876" s="43" t="s">
        <v>13</v>
      </c>
      <c r="F876" s="44">
        <v>8</v>
      </c>
      <c r="G876" s="44">
        <v>1</v>
      </c>
      <c r="H876" s="44">
        <v>3045</v>
      </c>
      <c r="I876" s="44">
        <v>3082</v>
      </c>
    </row>
    <row r="877" spans="1:10" ht="18.75" customHeight="1">
      <c r="A877" s="75" t="s">
        <v>64</v>
      </c>
      <c r="B877" s="41">
        <v>30</v>
      </c>
      <c r="C877" s="41">
        <v>5</v>
      </c>
      <c r="D877" s="39" t="s">
        <v>12</v>
      </c>
      <c r="E877" s="43" t="s">
        <v>13</v>
      </c>
      <c r="F877" s="44">
        <v>8</v>
      </c>
      <c r="G877" s="44">
        <v>1</v>
      </c>
      <c r="H877" s="44">
        <v>2619</v>
      </c>
      <c r="I877" s="44">
        <v>2657</v>
      </c>
    </row>
    <row r="878" spans="1:10" ht="18.75" customHeight="1">
      <c r="A878" s="75" t="s">
        <v>64</v>
      </c>
      <c r="B878" s="41">
        <v>30</v>
      </c>
      <c r="C878" s="41">
        <v>6</v>
      </c>
      <c r="D878" s="39" t="s">
        <v>12</v>
      </c>
      <c r="E878" s="43" t="s">
        <v>13</v>
      </c>
      <c r="F878" s="44">
        <v>7</v>
      </c>
      <c r="G878" s="44">
        <v>1</v>
      </c>
      <c r="H878" s="44">
        <v>3444</v>
      </c>
      <c r="I878" s="44">
        <v>3481</v>
      </c>
    </row>
    <row r="879" spans="1:10" ht="18.75" customHeight="1">
      <c r="A879" s="75" t="s">
        <v>64</v>
      </c>
      <c r="B879" s="41">
        <v>30</v>
      </c>
      <c r="C879" s="41">
        <v>7</v>
      </c>
      <c r="D879" s="39" t="s">
        <v>12</v>
      </c>
      <c r="E879" s="43" t="s">
        <v>13</v>
      </c>
      <c r="F879" s="44">
        <v>7</v>
      </c>
      <c r="G879" s="44">
        <v>1</v>
      </c>
      <c r="H879" s="44">
        <v>5066</v>
      </c>
      <c r="I879" s="44">
        <v>5105</v>
      </c>
    </row>
    <row r="880" spans="1:10" ht="18.75" customHeight="1">
      <c r="A880" s="75" t="s">
        <v>64</v>
      </c>
      <c r="B880" s="41">
        <v>30</v>
      </c>
      <c r="C880" s="41">
        <v>8</v>
      </c>
      <c r="D880" s="39" t="s">
        <v>12</v>
      </c>
      <c r="E880" s="43" t="s">
        <v>13</v>
      </c>
      <c r="F880" s="44">
        <v>8</v>
      </c>
      <c r="G880" s="44">
        <v>1</v>
      </c>
      <c r="H880" s="44">
        <v>2071</v>
      </c>
      <c r="I880" s="44">
        <v>2109</v>
      </c>
    </row>
    <row r="881" spans="1:10" ht="18.75" customHeight="1">
      <c r="A881" s="75" t="s">
        <v>64</v>
      </c>
      <c r="B881" s="41">
        <v>30</v>
      </c>
      <c r="C881" s="41">
        <v>9</v>
      </c>
      <c r="D881" s="39" t="s">
        <v>14</v>
      </c>
      <c r="E881" s="43" t="s">
        <v>15</v>
      </c>
      <c r="F881" s="44">
        <v>9</v>
      </c>
      <c r="G881" s="44">
        <v>1</v>
      </c>
      <c r="H881" s="44">
        <v>3438</v>
      </c>
      <c r="I881" s="44">
        <v>3475</v>
      </c>
      <c r="J881">
        <v>3470</v>
      </c>
    </row>
    <row r="882" spans="1:10" ht="18.75" customHeight="1">
      <c r="A882" s="75" t="s">
        <v>64</v>
      </c>
      <c r="B882" s="41">
        <v>30</v>
      </c>
      <c r="C882" s="41">
        <v>10</v>
      </c>
      <c r="D882" s="39" t="s">
        <v>16</v>
      </c>
      <c r="E882" s="43" t="s">
        <v>15</v>
      </c>
      <c r="F882" s="44">
        <v>10</v>
      </c>
      <c r="G882" s="44">
        <v>1</v>
      </c>
      <c r="H882" s="44">
        <v>3795</v>
      </c>
      <c r="I882" s="44">
        <v>3833</v>
      </c>
      <c r="J882">
        <v>3851</v>
      </c>
    </row>
    <row r="883" spans="1:10" ht="18.75" customHeight="1">
      <c r="A883" s="75" t="s">
        <v>64</v>
      </c>
      <c r="B883" s="41">
        <v>30</v>
      </c>
      <c r="C883" s="41">
        <v>11</v>
      </c>
      <c r="D883" s="39" t="s">
        <v>14</v>
      </c>
      <c r="E883" s="43" t="s">
        <v>15</v>
      </c>
      <c r="F883" s="44">
        <v>9</v>
      </c>
      <c r="G883" s="44">
        <v>1</v>
      </c>
      <c r="H883" s="44">
        <v>4766</v>
      </c>
      <c r="I883" s="44">
        <v>4800</v>
      </c>
      <c r="J883">
        <v>4792</v>
      </c>
    </row>
    <row r="884" spans="1:10" ht="18.75" customHeight="1">
      <c r="A884" s="75" t="s">
        <v>66</v>
      </c>
      <c r="B884" s="41">
        <v>10</v>
      </c>
      <c r="C884" s="41">
        <v>1</v>
      </c>
      <c r="D884" s="39" t="s">
        <v>12</v>
      </c>
      <c r="E884" s="43" t="s">
        <v>13</v>
      </c>
      <c r="F884" s="44">
        <v>3</v>
      </c>
      <c r="G884" s="44">
        <v>0</v>
      </c>
      <c r="H884" s="44">
        <v>3771</v>
      </c>
      <c r="I884" s="44">
        <v>3876</v>
      </c>
    </row>
    <row r="885" spans="1:10" ht="18.75" customHeight="1">
      <c r="A885" s="75" t="s">
        <v>66</v>
      </c>
      <c r="B885" s="41">
        <v>20</v>
      </c>
      <c r="C885" s="41">
        <v>1</v>
      </c>
      <c r="D885" s="39" t="s">
        <v>12</v>
      </c>
      <c r="E885" s="43" t="s">
        <v>13</v>
      </c>
      <c r="F885" s="44">
        <v>4</v>
      </c>
      <c r="G885" s="44">
        <v>0</v>
      </c>
      <c r="H885" s="44">
        <v>3185</v>
      </c>
      <c r="I885" s="44">
        <v>3240</v>
      </c>
    </row>
    <row r="886" spans="1:10" ht="18.75" customHeight="1">
      <c r="A886" s="75" t="s">
        <v>66</v>
      </c>
      <c r="B886" s="41">
        <v>20</v>
      </c>
      <c r="C886" s="41">
        <v>2</v>
      </c>
      <c r="D886" s="39" t="s">
        <v>12</v>
      </c>
      <c r="E886" s="43" t="s">
        <v>13</v>
      </c>
      <c r="F886" s="44">
        <v>3</v>
      </c>
      <c r="G886" s="44">
        <v>0</v>
      </c>
      <c r="H886" s="44">
        <v>1635</v>
      </c>
      <c r="I886" s="44">
        <v>1690</v>
      </c>
    </row>
    <row r="887" spans="1:10" ht="18.75" customHeight="1">
      <c r="A887" s="75" t="s">
        <v>66</v>
      </c>
      <c r="B887" s="41">
        <v>30</v>
      </c>
      <c r="C887" s="41">
        <v>1</v>
      </c>
      <c r="D887" s="39" t="s">
        <v>12</v>
      </c>
      <c r="E887" s="43" t="s">
        <v>13</v>
      </c>
      <c r="F887" s="44">
        <v>4</v>
      </c>
      <c r="G887" s="44">
        <v>0</v>
      </c>
      <c r="H887" s="44">
        <v>1956</v>
      </c>
      <c r="I887" s="44">
        <v>1994</v>
      </c>
    </row>
    <row r="888" spans="1:10" ht="18.75" customHeight="1">
      <c r="A888" s="75" t="s">
        <v>66</v>
      </c>
      <c r="B888" s="41">
        <v>40</v>
      </c>
      <c r="C888" s="41">
        <v>1</v>
      </c>
      <c r="D888" s="39" t="s">
        <v>16</v>
      </c>
      <c r="E888" s="43" t="s">
        <v>15</v>
      </c>
      <c r="F888" s="44">
        <v>6</v>
      </c>
      <c r="G888" s="44">
        <v>0</v>
      </c>
      <c r="H888" s="44">
        <v>3147</v>
      </c>
      <c r="I888" s="44">
        <v>3177</v>
      </c>
      <c r="J888">
        <v>3174</v>
      </c>
    </row>
    <row r="889" spans="1:10" ht="18.75" customHeight="1">
      <c r="A889" s="75" t="s">
        <v>66</v>
      </c>
      <c r="B889" s="41">
        <v>40</v>
      </c>
      <c r="C889" s="41">
        <v>2</v>
      </c>
      <c r="D889" s="39" t="s">
        <v>12</v>
      </c>
      <c r="E889" s="43" t="s">
        <v>13</v>
      </c>
      <c r="F889" s="44">
        <v>5</v>
      </c>
      <c r="G889" s="44">
        <v>0</v>
      </c>
      <c r="H889" s="44">
        <v>2954</v>
      </c>
      <c r="I889" s="44">
        <v>2984</v>
      </c>
    </row>
    <row r="890" spans="1:10" ht="18.75" customHeight="1">
      <c r="A890" s="75" t="s">
        <v>66</v>
      </c>
      <c r="B890" s="41">
        <v>60</v>
      </c>
      <c r="C890" s="41">
        <v>1</v>
      </c>
      <c r="D890" s="39" t="s">
        <v>16</v>
      </c>
      <c r="E890" s="43" t="s">
        <v>15</v>
      </c>
      <c r="F890" s="44">
        <v>7</v>
      </c>
      <c r="G890" s="44">
        <v>1</v>
      </c>
      <c r="H890" s="44">
        <v>2438</v>
      </c>
      <c r="I890" s="44">
        <v>2460</v>
      </c>
      <c r="J890">
        <v>2463</v>
      </c>
    </row>
    <row r="891" spans="1:10" ht="18.75" customHeight="1">
      <c r="A891" s="75" t="s">
        <v>66</v>
      </c>
      <c r="B891" s="41">
        <v>60</v>
      </c>
      <c r="C891" s="41">
        <v>2</v>
      </c>
      <c r="D891" s="39" t="s">
        <v>12</v>
      </c>
      <c r="E891" s="43" t="s">
        <v>13</v>
      </c>
      <c r="F891" s="44">
        <v>7</v>
      </c>
      <c r="G891" s="44">
        <v>1</v>
      </c>
      <c r="H891" s="44">
        <v>1504</v>
      </c>
      <c r="I891" s="44">
        <v>1526</v>
      </c>
    </row>
    <row r="892" spans="1:10" ht="18.75" customHeight="1">
      <c r="A892" s="75" t="s">
        <v>66</v>
      </c>
      <c r="B892" s="41">
        <v>60</v>
      </c>
      <c r="C892" s="41">
        <v>3</v>
      </c>
      <c r="D892" s="39" t="s">
        <v>16</v>
      </c>
      <c r="E892" s="43" t="s">
        <v>15</v>
      </c>
      <c r="F892" s="44">
        <v>7</v>
      </c>
      <c r="G892" s="44">
        <v>1</v>
      </c>
      <c r="H892" s="44">
        <v>5638</v>
      </c>
      <c r="I892" s="44">
        <v>5660</v>
      </c>
      <c r="J892">
        <v>5666</v>
      </c>
    </row>
    <row r="893" spans="1:10" ht="18.75" customHeight="1">
      <c r="A893" s="75" t="s">
        <v>66</v>
      </c>
      <c r="B893" s="41">
        <v>60</v>
      </c>
      <c r="C893" s="41">
        <v>4</v>
      </c>
      <c r="D893" s="39" t="s">
        <v>12</v>
      </c>
      <c r="E893" s="43" t="s">
        <v>13</v>
      </c>
      <c r="F893" s="44">
        <v>7</v>
      </c>
      <c r="G893" s="44">
        <v>1</v>
      </c>
      <c r="H893" s="44">
        <v>3502</v>
      </c>
      <c r="I893" s="44">
        <v>3524</v>
      </c>
    </row>
    <row r="894" spans="1:10" ht="18.75" customHeight="1">
      <c r="A894" s="75" t="s">
        <v>66</v>
      </c>
      <c r="B894" s="41">
        <v>60</v>
      </c>
      <c r="C894" s="41">
        <v>5</v>
      </c>
      <c r="D894" s="39" t="s">
        <v>16</v>
      </c>
      <c r="E894" s="43" t="s">
        <v>15</v>
      </c>
      <c r="F894" s="44">
        <v>7</v>
      </c>
      <c r="G894" s="44">
        <v>1</v>
      </c>
      <c r="H894" s="44">
        <v>2677</v>
      </c>
      <c r="I894" s="44">
        <v>2700</v>
      </c>
      <c r="J894">
        <v>2704</v>
      </c>
    </row>
    <row r="895" spans="1:10" ht="18.75" customHeight="1">
      <c r="A895" s="75" t="s">
        <v>66</v>
      </c>
      <c r="B895" s="41">
        <v>60</v>
      </c>
      <c r="C895" s="41">
        <v>6</v>
      </c>
      <c r="D895" s="39" t="s">
        <v>16</v>
      </c>
      <c r="E895" s="43" t="s">
        <v>15</v>
      </c>
      <c r="F895" s="44">
        <v>8</v>
      </c>
      <c r="G895" s="44">
        <v>1</v>
      </c>
      <c r="H895" s="44">
        <v>3426</v>
      </c>
      <c r="I895" s="44">
        <v>3448</v>
      </c>
      <c r="J895">
        <v>3450</v>
      </c>
    </row>
    <row r="896" spans="1:10" ht="18.75" customHeight="1">
      <c r="A896" s="75" t="s">
        <v>66</v>
      </c>
      <c r="B896" s="41">
        <v>60</v>
      </c>
      <c r="C896" s="41">
        <v>7</v>
      </c>
      <c r="D896" s="39" t="s">
        <v>16</v>
      </c>
      <c r="E896" s="43" t="s">
        <v>15</v>
      </c>
      <c r="F896" s="44">
        <v>8</v>
      </c>
      <c r="G896" s="44">
        <v>1</v>
      </c>
      <c r="H896" s="44">
        <v>2739</v>
      </c>
      <c r="I896" s="44">
        <v>2761</v>
      </c>
      <c r="J896">
        <v>2762</v>
      </c>
    </row>
    <row r="897" spans="1:10" ht="18.75" customHeight="1">
      <c r="A897" s="75" t="s">
        <v>66</v>
      </c>
      <c r="B897" s="41">
        <v>60</v>
      </c>
      <c r="C897" s="41">
        <v>8</v>
      </c>
      <c r="D897" s="39" t="s">
        <v>12</v>
      </c>
      <c r="E897" s="43" t="s">
        <v>13</v>
      </c>
      <c r="F897" s="44">
        <v>7</v>
      </c>
      <c r="G897" s="44">
        <v>1</v>
      </c>
      <c r="H897" s="44">
        <v>1820</v>
      </c>
      <c r="I897" s="44">
        <v>1842</v>
      </c>
    </row>
    <row r="898" spans="1:10" ht="18.75" customHeight="1">
      <c r="A898" s="75" t="s">
        <v>66</v>
      </c>
      <c r="B898" s="41">
        <v>60</v>
      </c>
      <c r="C898" s="41">
        <v>9</v>
      </c>
      <c r="D898" s="39" t="s">
        <v>12</v>
      </c>
      <c r="E898" s="43" t="s">
        <v>13</v>
      </c>
      <c r="F898" s="44">
        <v>7</v>
      </c>
      <c r="G898" s="44">
        <v>1</v>
      </c>
      <c r="H898" s="44">
        <v>3427</v>
      </c>
      <c r="I898" s="44">
        <v>3449</v>
      </c>
    </row>
    <row r="899" spans="1:10" ht="18.75" customHeight="1">
      <c r="A899" s="75" t="s">
        <v>66</v>
      </c>
      <c r="B899" s="41">
        <v>60</v>
      </c>
      <c r="C899" s="41">
        <v>10</v>
      </c>
      <c r="D899" s="39" t="s">
        <v>14</v>
      </c>
      <c r="E899" s="43" t="s">
        <v>15</v>
      </c>
      <c r="F899" s="44">
        <v>7</v>
      </c>
      <c r="G899" s="44">
        <v>1</v>
      </c>
      <c r="H899" s="44">
        <v>2010</v>
      </c>
      <c r="I899" s="44">
        <v>2032</v>
      </c>
      <c r="J899">
        <v>2033</v>
      </c>
    </row>
    <row r="900" spans="1:10" ht="18.75" customHeight="1">
      <c r="A900" s="75" t="s">
        <v>66</v>
      </c>
      <c r="B900" s="41">
        <v>60</v>
      </c>
      <c r="C900" s="41">
        <v>11</v>
      </c>
      <c r="D900" s="39" t="s">
        <v>16</v>
      </c>
      <c r="E900" s="43" t="s">
        <v>15</v>
      </c>
      <c r="F900" s="44">
        <v>7</v>
      </c>
      <c r="G900" s="44">
        <v>1</v>
      </c>
      <c r="H900" s="44">
        <v>5149</v>
      </c>
      <c r="I900" s="44">
        <v>5171</v>
      </c>
      <c r="J900">
        <v>5178</v>
      </c>
    </row>
    <row r="901" spans="1:10" ht="18.75" customHeight="1">
      <c r="A901" s="75" t="s">
        <v>66</v>
      </c>
      <c r="B901" s="41">
        <v>60</v>
      </c>
      <c r="C901" s="41">
        <v>12</v>
      </c>
      <c r="D901" s="39" t="s">
        <v>14</v>
      </c>
      <c r="E901" s="43" t="s">
        <v>15</v>
      </c>
      <c r="F901" s="44">
        <v>7</v>
      </c>
      <c r="G901" s="44">
        <v>1</v>
      </c>
      <c r="H901" s="44">
        <v>1162</v>
      </c>
      <c r="I901" s="44">
        <v>1184</v>
      </c>
      <c r="J901">
        <v>1188</v>
      </c>
    </row>
    <row r="902" spans="1:10" ht="18.75" customHeight="1">
      <c r="A902" s="75" t="s">
        <v>66</v>
      </c>
      <c r="B902" s="41">
        <v>70</v>
      </c>
      <c r="C902" s="41">
        <v>1</v>
      </c>
      <c r="D902" s="39" t="s">
        <v>14</v>
      </c>
      <c r="E902" s="43" t="s">
        <v>15</v>
      </c>
      <c r="F902" s="44">
        <v>7</v>
      </c>
      <c r="G902" s="44">
        <v>0</v>
      </c>
      <c r="H902" s="44">
        <v>2117</v>
      </c>
      <c r="I902" s="44">
        <v>2136</v>
      </c>
      <c r="J902">
        <v>2140</v>
      </c>
    </row>
    <row r="903" spans="1:10" ht="18.75" customHeight="1">
      <c r="A903" s="75" t="s">
        <v>66</v>
      </c>
      <c r="B903" s="41">
        <v>80</v>
      </c>
      <c r="C903" s="41">
        <v>1</v>
      </c>
      <c r="D903" s="39" t="s">
        <v>14</v>
      </c>
      <c r="E903" s="43" t="s">
        <v>15</v>
      </c>
      <c r="F903" s="44">
        <v>8</v>
      </c>
      <c r="G903" s="44">
        <v>0</v>
      </c>
      <c r="H903" s="44">
        <v>3700</v>
      </c>
      <c r="I903" s="44">
        <v>3719</v>
      </c>
      <c r="J903">
        <v>3727</v>
      </c>
    </row>
    <row r="904" spans="1:10" ht="18.75" customHeight="1">
      <c r="A904" s="75" t="s">
        <v>67</v>
      </c>
      <c r="B904" s="41">
        <v>10</v>
      </c>
      <c r="C904" s="41">
        <v>1</v>
      </c>
      <c r="D904" s="39" t="s">
        <v>13</v>
      </c>
      <c r="E904" s="43" t="s">
        <v>13</v>
      </c>
      <c r="F904" s="44">
        <v>3</v>
      </c>
      <c r="G904" s="44">
        <v>0</v>
      </c>
      <c r="H904" s="44">
        <v>2659</v>
      </c>
      <c r="I904" s="44">
        <v>2764</v>
      </c>
    </row>
    <row r="905" spans="1:10" ht="18.75" customHeight="1">
      <c r="A905" s="75" t="s">
        <v>67</v>
      </c>
      <c r="B905" s="41">
        <v>20</v>
      </c>
      <c r="C905" s="41">
        <v>1</v>
      </c>
      <c r="D905" s="39" t="s">
        <v>12</v>
      </c>
      <c r="E905" s="43" t="s">
        <v>13</v>
      </c>
      <c r="F905" s="44">
        <v>6</v>
      </c>
      <c r="G905" s="44">
        <v>0</v>
      </c>
      <c r="H905" s="44">
        <v>1775</v>
      </c>
      <c r="I905" s="44">
        <v>1830</v>
      </c>
    </row>
    <row r="906" spans="1:10" ht="18.75" customHeight="1">
      <c r="A906" s="75" t="s">
        <v>67</v>
      </c>
      <c r="B906" s="41">
        <v>30</v>
      </c>
      <c r="C906" s="41">
        <v>1</v>
      </c>
      <c r="D906" s="39" t="s">
        <v>16</v>
      </c>
      <c r="E906" s="43" t="s">
        <v>15</v>
      </c>
      <c r="F906" s="44">
        <v>7</v>
      </c>
      <c r="G906" s="44">
        <v>0</v>
      </c>
      <c r="H906" s="44">
        <v>2301</v>
      </c>
      <c r="I906" s="44">
        <v>2339</v>
      </c>
      <c r="J906">
        <v>2351</v>
      </c>
    </row>
    <row r="907" spans="1:10" ht="18.75" customHeight="1">
      <c r="A907" s="75" t="s">
        <v>67</v>
      </c>
      <c r="B907" s="41">
        <v>30</v>
      </c>
      <c r="C907" s="41">
        <v>2</v>
      </c>
      <c r="D907" s="39" t="s">
        <v>14</v>
      </c>
      <c r="E907" s="43" t="s">
        <v>15</v>
      </c>
      <c r="F907" s="44">
        <v>7</v>
      </c>
      <c r="G907" s="44">
        <v>0</v>
      </c>
      <c r="H907" s="44">
        <v>2728</v>
      </c>
      <c r="I907" s="44">
        <v>2766</v>
      </c>
      <c r="J907">
        <v>2772</v>
      </c>
    </row>
    <row r="908" spans="1:10" ht="18.75" customHeight="1">
      <c r="A908" s="75" t="s">
        <v>67</v>
      </c>
      <c r="B908" s="41">
        <v>30</v>
      </c>
      <c r="C908" s="41">
        <v>3</v>
      </c>
      <c r="D908" s="39" t="s">
        <v>16</v>
      </c>
      <c r="E908" s="43" t="s">
        <v>15</v>
      </c>
      <c r="F908" s="44">
        <v>8</v>
      </c>
      <c r="G908" s="44">
        <v>0</v>
      </c>
      <c r="H908" s="44">
        <v>3506</v>
      </c>
      <c r="I908" s="44">
        <v>3545</v>
      </c>
      <c r="J908">
        <v>3557</v>
      </c>
    </row>
    <row r="909" spans="1:10" ht="18.75" customHeight="1">
      <c r="A909" s="75" t="s">
        <v>67</v>
      </c>
      <c r="B909" s="41">
        <v>25</v>
      </c>
      <c r="C909" s="41">
        <v>1</v>
      </c>
      <c r="D909" s="39" t="s">
        <v>14</v>
      </c>
      <c r="E909" s="43" t="s">
        <v>15</v>
      </c>
      <c r="F909" s="44">
        <v>9</v>
      </c>
      <c r="G909" s="44">
        <v>1</v>
      </c>
      <c r="H909" s="44">
        <v>4509</v>
      </c>
      <c r="I909" s="44">
        <v>4554</v>
      </c>
      <c r="J909">
        <v>4555</v>
      </c>
    </row>
    <row r="910" spans="1:10" ht="18.75" customHeight="1">
      <c r="A910" s="75" t="s">
        <v>67</v>
      </c>
      <c r="B910" s="41">
        <v>25</v>
      </c>
      <c r="C910" s="41">
        <v>2</v>
      </c>
      <c r="D910" s="39" t="s">
        <v>16</v>
      </c>
      <c r="E910" s="43" t="s">
        <v>15</v>
      </c>
      <c r="F910" s="44">
        <v>7</v>
      </c>
      <c r="G910" s="44">
        <v>1</v>
      </c>
      <c r="H910" s="44">
        <v>1921</v>
      </c>
      <c r="I910" s="44">
        <v>1968</v>
      </c>
      <c r="J910">
        <v>1970</v>
      </c>
    </row>
    <row r="911" spans="1:10" ht="18.75" customHeight="1">
      <c r="A911" s="75" t="s">
        <v>67</v>
      </c>
      <c r="B911" s="41">
        <v>25</v>
      </c>
      <c r="C911" s="41">
        <v>3</v>
      </c>
      <c r="D911" s="39" t="s">
        <v>12</v>
      </c>
      <c r="E911" s="43" t="s">
        <v>13</v>
      </c>
      <c r="F911" s="44">
        <v>7</v>
      </c>
      <c r="G911" s="44">
        <v>1</v>
      </c>
      <c r="H911" s="44">
        <v>2560</v>
      </c>
      <c r="I911" s="44">
        <v>2606</v>
      </c>
    </row>
    <row r="912" spans="1:10" ht="18.75" customHeight="1">
      <c r="A912" s="75" t="s">
        <v>67</v>
      </c>
      <c r="B912" s="41">
        <v>25</v>
      </c>
      <c r="C912" s="41">
        <v>4</v>
      </c>
      <c r="D912" s="39" t="s">
        <v>16</v>
      </c>
      <c r="E912" s="43" t="s">
        <v>15</v>
      </c>
      <c r="F912" s="44">
        <v>8</v>
      </c>
      <c r="G912" s="44">
        <v>1</v>
      </c>
      <c r="H912" s="44">
        <v>2213</v>
      </c>
      <c r="I912" s="44">
        <v>2259</v>
      </c>
      <c r="J912">
        <v>2266</v>
      </c>
    </row>
    <row r="913" spans="1:10" ht="18.75" customHeight="1">
      <c r="A913" s="75" t="s">
        <v>67</v>
      </c>
      <c r="B913" s="41">
        <v>25</v>
      </c>
      <c r="C913" s="41">
        <v>5</v>
      </c>
      <c r="D913" s="39" t="s">
        <v>12</v>
      </c>
      <c r="E913" s="43" t="s">
        <v>13</v>
      </c>
      <c r="F913" s="44">
        <v>7</v>
      </c>
      <c r="G913" s="44">
        <v>1</v>
      </c>
      <c r="H913" s="44">
        <v>3571</v>
      </c>
      <c r="I913" s="44">
        <v>3616</v>
      </c>
    </row>
    <row r="914" spans="1:10" ht="18.75" customHeight="1">
      <c r="A914" s="75" t="s">
        <v>67</v>
      </c>
      <c r="B914" s="41">
        <v>25</v>
      </c>
      <c r="C914" s="41">
        <v>6</v>
      </c>
      <c r="D914" s="39" t="s">
        <v>12</v>
      </c>
      <c r="E914" s="43" t="s">
        <v>13</v>
      </c>
      <c r="F914" s="44">
        <v>7</v>
      </c>
      <c r="G914" s="44">
        <v>1</v>
      </c>
      <c r="H914" s="44">
        <v>2340</v>
      </c>
      <c r="I914" s="44">
        <v>2386</v>
      </c>
    </row>
    <row r="915" spans="1:10" ht="18.75" customHeight="1">
      <c r="A915" s="75" t="s">
        <v>67</v>
      </c>
      <c r="B915" s="41">
        <v>25</v>
      </c>
      <c r="C915" s="41">
        <v>7</v>
      </c>
      <c r="D915" s="39" t="s">
        <v>16</v>
      </c>
      <c r="E915" s="43" t="s">
        <v>15</v>
      </c>
      <c r="F915" s="44">
        <v>8</v>
      </c>
      <c r="G915" s="44">
        <v>1</v>
      </c>
      <c r="H915" s="44">
        <v>3180</v>
      </c>
      <c r="I915" s="44">
        <v>3225</v>
      </c>
      <c r="J915">
        <v>3231</v>
      </c>
    </row>
    <row r="916" spans="1:10" ht="18.75" customHeight="1">
      <c r="A916" s="75" t="s">
        <v>67</v>
      </c>
      <c r="B916" s="41">
        <v>25</v>
      </c>
      <c r="C916" s="41">
        <v>8</v>
      </c>
      <c r="D916" s="39" t="s">
        <v>16</v>
      </c>
      <c r="E916" s="43" t="s">
        <v>15</v>
      </c>
      <c r="F916" s="44">
        <v>8</v>
      </c>
      <c r="G916" s="44">
        <v>1</v>
      </c>
      <c r="H916" s="44">
        <v>6210</v>
      </c>
      <c r="I916" s="44">
        <v>6256</v>
      </c>
      <c r="J916">
        <v>6264</v>
      </c>
    </row>
    <row r="917" spans="1:10" ht="18.75" customHeight="1">
      <c r="A917" s="75" t="s">
        <v>67</v>
      </c>
      <c r="B917" s="41">
        <v>23</v>
      </c>
      <c r="C917" s="41">
        <v>1</v>
      </c>
      <c r="D917" s="39" t="s">
        <v>12</v>
      </c>
      <c r="E917" s="43" t="s">
        <v>13</v>
      </c>
      <c r="F917" s="44">
        <v>7</v>
      </c>
      <c r="G917" s="44">
        <v>0</v>
      </c>
      <c r="H917" s="44">
        <v>3367</v>
      </c>
      <c r="I917" s="44">
        <v>3416</v>
      </c>
    </row>
    <row r="918" spans="1:10" ht="18.75" customHeight="1">
      <c r="A918" s="75" t="s">
        <v>67</v>
      </c>
      <c r="B918" s="41">
        <v>23</v>
      </c>
      <c r="C918" s="41">
        <v>2</v>
      </c>
      <c r="D918" s="39" t="s">
        <v>12</v>
      </c>
      <c r="E918" s="43" t="s">
        <v>13</v>
      </c>
      <c r="F918" s="44">
        <v>8</v>
      </c>
      <c r="G918" s="44">
        <v>0</v>
      </c>
      <c r="H918" s="44">
        <v>3739</v>
      </c>
      <c r="I918" s="44">
        <v>3788</v>
      </c>
    </row>
    <row r="919" spans="1:10" ht="18.75" customHeight="1">
      <c r="A919" s="75" t="s">
        <v>67</v>
      </c>
      <c r="B919" s="41">
        <v>23</v>
      </c>
      <c r="C919" s="41">
        <v>3</v>
      </c>
      <c r="D919" s="39" t="s">
        <v>12</v>
      </c>
      <c r="E919" s="43" t="s">
        <v>13</v>
      </c>
      <c r="F919" s="44">
        <v>8</v>
      </c>
      <c r="G919" s="44">
        <v>0</v>
      </c>
      <c r="H919" s="44">
        <v>6182</v>
      </c>
      <c r="I919" s="44">
        <v>6230</v>
      </c>
    </row>
    <row r="920" spans="1:10" ht="18.75" customHeight="1">
      <c r="A920" s="75" t="s">
        <v>67</v>
      </c>
      <c r="B920" s="41">
        <v>25</v>
      </c>
      <c r="C920" s="41">
        <v>9</v>
      </c>
      <c r="D920" s="39" t="s">
        <v>14</v>
      </c>
      <c r="E920" s="43" t="s">
        <v>15</v>
      </c>
      <c r="F920" s="44">
        <v>8</v>
      </c>
      <c r="G920" s="44">
        <v>1</v>
      </c>
      <c r="H920" s="44">
        <v>3033</v>
      </c>
      <c r="I920" s="44">
        <v>3078</v>
      </c>
      <c r="J920">
        <v>3118</v>
      </c>
    </row>
    <row r="921" spans="1:10" ht="18.75" customHeight="1">
      <c r="A921" s="75" t="s">
        <v>67</v>
      </c>
      <c r="B921" s="41">
        <v>25</v>
      </c>
      <c r="C921" s="41">
        <v>10</v>
      </c>
      <c r="D921" s="39" t="s">
        <v>16</v>
      </c>
      <c r="E921" s="43" t="s">
        <v>15</v>
      </c>
      <c r="F921" s="44">
        <v>8</v>
      </c>
      <c r="G921" s="44">
        <v>1</v>
      </c>
      <c r="H921" s="44">
        <v>7471</v>
      </c>
      <c r="I921" s="44">
        <v>7516</v>
      </c>
      <c r="J921">
        <v>7519</v>
      </c>
    </row>
    <row r="922" spans="1:10" ht="18.75" customHeight="1">
      <c r="A922" s="75" t="s">
        <v>67</v>
      </c>
      <c r="B922" s="41">
        <v>23</v>
      </c>
      <c r="C922" s="41">
        <v>4</v>
      </c>
      <c r="D922" s="39" t="s">
        <v>12</v>
      </c>
      <c r="E922" s="43" t="s">
        <v>13</v>
      </c>
      <c r="F922" s="44">
        <v>8</v>
      </c>
      <c r="G922" s="44">
        <v>0</v>
      </c>
      <c r="H922" s="44">
        <v>3107</v>
      </c>
      <c r="I922" s="44">
        <v>3156</v>
      </c>
    </row>
    <row r="923" spans="1:10" ht="18.75" customHeight="1">
      <c r="A923" s="76" t="s">
        <v>67</v>
      </c>
      <c r="B923" s="58">
        <v>25</v>
      </c>
      <c r="C923" s="58">
        <v>11</v>
      </c>
      <c r="D923" s="61" t="s">
        <v>16</v>
      </c>
      <c r="E923" s="62" t="s">
        <v>15</v>
      </c>
      <c r="F923" s="63">
        <v>8</v>
      </c>
      <c r="G923" s="63">
        <v>0</v>
      </c>
      <c r="H923" s="63">
        <v>3348</v>
      </c>
      <c r="I923" s="63">
        <v>3394</v>
      </c>
      <c r="J923">
        <v>3391</v>
      </c>
    </row>
    <row r="924" spans="1:10" ht="18.75" customHeight="1">
      <c r="A924" s="75" t="s">
        <v>68</v>
      </c>
      <c r="B924" s="41">
        <v>10</v>
      </c>
      <c r="C924" s="41">
        <v>1</v>
      </c>
      <c r="D924" s="39" t="s">
        <v>13</v>
      </c>
      <c r="E924" s="43" t="s">
        <v>13</v>
      </c>
      <c r="F924" s="44">
        <v>1</v>
      </c>
      <c r="G924" s="44">
        <v>0</v>
      </c>
      <c r="H924" s="41">
        <v>2627</v>
      </c>
      <c r="I924" s="41">
        <v>2732</v>
      </c>
    </row>
    <row r="925" spans="1:10" ht="18.75" customHeight="1">
      <c r="A925" s="75" t="s">
        <v>68</v>
      </c>
      <c r="B925" s="41">
        <v>30</v>
      </c>
      <c r="C925" s="41">
        <v>1</v>
      </c>
      <c r="D925" s="39" t="s">
        <v>16</v>
      </c>
      <c r="E925" s="43" t="s">
        <v>15</v>
      </c>
      <c r="F925" s="44">
        <v>4</v>
      </c>
      <c r="G925" s="44">
        <v>0</v>
      </c>
      <c r="H925" s="41">
        <v>2222</v>
      </c>
      <c r="I925" s="41">
        <v>2262</v>
      </c>
      <c r="J925">
        <v>2251</v>
      </c>
    </row>
    <row r="926" spans="1:10" ht="18.75" customHeight="1">
      <c r="A926" s="75" t="s">
        <v>68</v>
      </c>
      <c r="B926" s="41">
        <v>30</v>
      </c>
      <c r="C926" s="41">
        <v>2</v>
      </c>
      <c r="D926" s="39" t="s">
        <v>16</v>
      </c>
      <c r="E926" s="43" t="s">
        <v>15</v>
      </c>
      <c r="F926" s="44">
        <v>4</v>
      </c>
      <c r="G926" s="44">
        <v>0</v>
      </c>
      <c r="H926" s="41">
        <v>3591</v>
      </c>
      <c r="I926" s="41">
        <v>3631</v>
      </c>
      <c r="J926">
        <v>3616</v>
      </c>
    </row>
    <row r="927" spans="1:10" ht="18.75" customHeight="1">
      <c r="A927" s="75" t="s">
        <v>68</v>
      </c>
      <c r="B927" s="41">
        <v>20</v>
      </c>
      <c r="C927" s="41">
        <v>1</v>
      </c>
      <c r="D927" s="39" t="s">
        <v>16</v>
      </c>
      <c r="E927" s="43" t="s">
        <v>15</v>
      </c>
      <c r="F927" s="44">
        <v>4</v>
      </c>
      <c r="G927" s="44">
        <v>1</v>
      </c>
      <c r="H927" s="41">
        <v>4178</v>
      </c>
      <c r="I927" s="41">
        <v>4233</v>
      </c>
      <c r="J927">
        <v>4205</v>
      </c>
    </row>
    <row r="928" spans="1:10" ht="18.75" customHeight="1">
      <c r="A928" s="75" t="s">
        <v>68</v>
      </c>
      <c r="B928" s="41">
        <v>20</v>
      </c>
      <c r="C928" s="41">
        <v>2</v>
      </c>
      <c r="D928" s="39" t="s">
        <v>16</v>
      </c>
      <c r="E928" s="43" t="s">
        <v>15</v>
      </c>
      <c r="F928" s="44">
        <v>5</v>
      </c>
      <c r="G928" s="44">
        <v>1</v>
      </c>
      <c r="H928" s="41">
        <v>2417</v>
      </c>
      <c r="I928" s="41">
        <v>2473</v>
      </c>
      <c r="J928">
        <v>2445</v>
      </c>
    </row>
    <row r="929" spans="1:10" ht="18.75" customHeight="1">
      <c r="A929" s="75" t="s">
        <v>68</v>
      </c>
      <c r="B929" s="41">
        <v>15</v>
      </c>
      <c r="C929" s="41">
        <v>1</v>
      </c>
      <c r="D929" s="39" t="s">
        <v>13</v>
      </c>
      <c r="E929" s="43" t="s">
        <v>13</v>
      </c>
      <c r="F929" s="44">
        <v>3</v>
      </c>
      <c r="G929" s="44">
        <v>0</v>
      </c>
      <c r="H929" s="41">
        <v>3649</v>
      </c>
      <c r="I929" s="41">
        <v>3721</v>
      </c>
    </row>
    <row r="930" spans="1:10" ht="18.75" customHeight="1">
      <c r="A930" s="75" t="s">
        <v>68</v>
      </c>
      <c r="B930" s="41">
        <v>15</v>
      </c>
      <c r="C930" s="41">
        <v>2</v>
      </c>
      <c r="D930" s="39" t="s">
        <v>13</v>
      </c>
      <c r="E930" s="43" t="s">
        <v>13</v>
      </c>
      <c r="F930" s="44">
        <v>3</v>
      </c>
      <c r="G930" s="44">
        <v>0</v>
      </c>
      <c r="H930" s="41">
        <v>3680</v>
      </c>
      <c r="I930" s="41">
        <v>3754</v>
      </c>
    </row>
    <row r="931" spans="1:10" ht="18.75" customHeight="1">
      <c r="A931" s="75" t="s">
        <v>68</v>
      </c>
      <c r="B931" s="41">
        <v>20</v>
      </c>
      <c r="C931" s="41">
        <v>3</v>
      </c>
      <c r="D931" s="39" t="s">
        <v>16</v>
      </c>
      <c r="E931" s="43" t="s">
        <v>15</v>
      </c>
      <c r="F931" s="44">
        <v>3</v>
      </c>
      <c r="G931" s="44">
        <v>1</v>
      </c>
      <c r="H931" s="41">
        <v>3549</v>
      </c>
      <c r="I931" s="41">
        <v>3606</v>
      </c>
      <c r="J931">
        <v>3574</v>
      </c>
    </row>
    <row r="932" spans="1:10" ht="18.75" customHeight="1">
      <c r="A932" s="75" t="s">
        <v>68</v>
      </c>
      <c r="B932" s="41">
        <v>20</v>
      </c>
      <c r="C932" s="41">
        <v>4</v>
      </c>
      <c r="D932" s="39" t="s">
        <v>16</v>
      </c>
      <c r="E932" s="43" t="s">
        <v>15</v>
      </c>
      <c r="F932" s="44">
        <v>4</v>
      </c>
      <c r="G932" s="44">
        <v>1</v>
      </c>
      <c r="H932" s="41">
        <v>2801</v>
      </c>
      <c r="I932" s="41">
        <v>2857</v>
      </c>
      <c r="J932">
        <v>2835</v>
      </c>
    </row>
    <row r="933" spans="1:10" ht="18.75" customHeight="1">
      <c r="A933" s="75" t="s">
        <v>68</v>
      </c>
      <c r="B933" s="41">
        <v>18</v>
      </c>
      <c r="C933" s="41">
        <v>1</v>
      </c>
      <c r="D933" s="39" t="s">
        <v>16</v>
      </c>
      <c r="E933" s="43" t="s">
        <v>15</v>
      </c>
      <c r="F933" s="44">
        <v>2</v>
      </c>
      <c r="G933" s="44">
        <v>0</v>
      </c>
      <c r="H933" s="41">
        <v>2088</v>
      </c>
      <c r="I933" s="41">
        <v>2150</v>
      </c>
      <c r="J933">
        <v>2111</v>
      </c>
    </row>
    <row r="934" spans="1:10" ht="18.75" customHeight="1">
      <c r="A934" s="75" t="s">
        <v>68</v>
      </c>
      <c r="B934" s="41">
        <v>18</v>
      </c>
      <c r="C934" s="41">
        <v>2</v>
      </c>
      <c r="D934" s="39" t="s">
        <v>16</v>
      </c>
      <c r="E934" s="43" t="s">
        <v>15</v>
      </c>
      <c r="F934" s="44">
        <v>2</v>
      </c>
      <c r="G934" s="44">
        <v>0</v>
      </c>
      <c r="H934" s="41">
        <v>2477</v>
      </c>
      <c r="I934" s="41">
        <v>2537</v>
      </c>
      <c r="J934">
        <v>2506</v>
      </c>
    </row>
    <row r="935" spans="1:10" ht="18.75" customHeight="1">
      <c r="A935" s="75" t="s">
        <v>68</v>
      </c>
      <c r="B935" s="41">
        <v>16</v>
      </c>
      <c r="C935" s="41">
        <v>1</v>
      </c>
      <c r="D935" s="39" t="s">
        <v>13</v>
      </c>
      <c r="E935" s="43" t="s">
        <v>13</v>
      </c>
      <c r="F935" s="44">
        <v>1</v>
      </c>
      <c r="G935" s="44">
        <v>0</v>
      </c>
      <c r="H935" s="41">
        <v>2921</v>
      </c>
      <c r="I935" s="41">
        <v>2989</v>
      </c>
    </row>
    <row r="936" spans="1:10" ht="18.75" customHeight="1">
      <c r="A936" s="75" t="s">
        <v>68</v>
      </c>
      <c r="B936" s="41">
        <v>16</v>
      </c>
      <c r="C936" s="41">
        <v>2</v>
      </c>
      <c r="D936" s="39" t="s">
        <v>13</v>
      </c>
      <c r="E936" s="43" t="s">
        <v>13</v>
      </c>
      <c r="F936" s="44">
        <v>1</v>
      </c>
      <c r="G936" s="44">
        <v>0</v>
      </c>
      <c r="H936" s="41">
        <v>3463</v>
      </c>
      <c r="I936" s="41">
        <v>3531</v>
      </c>
    </row>
    <row r="937" spans="1:10" ht="18.75" customHeight="1">
      <c r="A937" s="75" t="s">
        <v>68</v>
      </c>
      <c r="B937" s="41">
        <v>18</v>
      </c>
      <c r="C937" s="41">
        <v>3</v>
      </c>
      <c r="D937" s="39" t="s">
        <v>16</v>
      </c>
      <c r="E937" s="43" t="s">
        <v>15</v>
      </c>
      <c r="F937" s="44">
        <v>3</v>
      </c>
      <c r="G937" s="44">
        <v>0</v>
      </c>
      <c r="H937" s="41">
        <v>2860</v>
      </c>
      <c r="I937" s="41">
        <v>2921</v>
      </c>
      <c r="J937">
        <v>2889</v>
      </c>
    </row>
    <row r="938" spans="1:10" ht="18.75" customHeight="1">
      <c r="A938" s="75" t="s">
        <v>68</v>
      </c>
      <c r="B938" s="41">
        <v>17</v>
      </c>
      <c r="C938" s="41">
        <v>1</v>
      </c>
      <c r="D938" s="39" t="s">
        <v>13</v>
      </c>
      <c r="E938" s="43" t="s">
        <v>13</v>
      </c>
      <c r="F938" s="44">
        <v>2</v>
      </c>
      <c r="G938" s="44">
        <v>0</v>
      </c>
      <c r="H938" s="41">
        <v>2152</v>
      </c>
      <c r="I938" s="41">
        <v>2217</v>
      </c>
    </row>
    <row r="939" spans="1:10" ht="18.75" customHeight="1">
      <c r="A939" s="75" t="s">
        <v>68</v>
      </c>
      <c r="B939" s="41">
        <v>18</v>
      </c>
      <c r="C939" s="41">
        <v>4</v>
      </c>
      <c r="D939" s="39" t="s">
        <v>12</v>
      </c>
      <c r="E939" s="43" t="s">
        <v>13</v>
      </c>
      <c r="F939" s="44">
        <v>2</v>
      </c>
      <c r="G939" s="44">
        <v>0</v>
      </c>
      <c r="H939" s="41">
        <v>3786</v>
      </c>
      <c r="I939" s="41">
        <v>3847</v>
      </c>
    </row>
    <row r="940" spans="1:10" ht="18.75" customHeight="1">
      <c r="A940" s="75" t="s">
        <v>68</v>
      </c>
      <c r="B940" s="41">
        <v>18</v>
      </c>
      <c r="C940" s="41">
        <v>5</v>
      </c>
      <c r="D940" s="39" t="s">
        <v>13</v>
      </c>
      <c r="E940" s="43" t="s">
        <v>13</v>
      </c>
      <c r="F940" s="44">
        <v>1</v>
      </c>
      <c r="G940" s="44">
        <v>0</v>
      </c>
      <c r="H940" s="41">
        <v>3403</v>
      </c>
      <c r="I940" s="41">
        <v>3465</v>
      </c>
    </row>
    <row r="941" spans="1:10" ht="18.75" customHeight="1">
      <c r="A941" s="75" t="s">
        <v>68</v>
      </c>
      <c r="B941" s="41">
        <v>18</v>
      </c>
      <c r="C941" s="41">
        <v>6</v>
      </c>
      <c r="D941" s="39" t="s">
        <v>13</v>
      </c>
      <c r="E941" s="43" t="s">
        <v>13</v>
      </c>
      <c r="F941" s="44">
        <v>1</v>
      </c>
      <c r="G941" s="44">
        <v>0</v>
      </c>
      <c r="H941" s="41">
        <v>4464</v>
      </c>
      <c r="I941" s="41">
        <v>4526</v>
      </c>
    </row>
    <row r="942" spans="1:10" ht="18.75" customHeight="1">
      <c r="A942" s="75" t="s">
        <v>68</v>
      </c>
      <c r="B942" s="41">
        <v>20</v>
      </c>
      <c r="C942" s="41">
        <v>5</v>
      </c>
      <c r="D942" s="39" t="s">
        <v>13</v>
      </c>
      <c r="E942" s="43" t="s">
        <v>13</v>
      </c>
      <c r="F942" s="44">
        <v>1</v>
      </c>
      <c r="G942" s="44">
        <v>1</v>
      </c>
      <c r="H942" s="41">
        <v>2995</v>
      </c>
      <c r="I942" s="41">
        <v>3051</v>
      </c>
    </row>
    <row r="943" spans="1:10" ht="18.75" customHeight="1">
      <c r="A943" s="75" t="s">
        <v>68</v>
      </c>
      <c r="B943" s="41">
        <v>20</v>
      </c>
      <c r="C943" s="41">
        <v>6</v>
      </c>
      <c r="D943" s="39" t="s">
        <v>13</v>
      </c>
      <c r="E943" s="43" t="s">
        <v>13</v>
      </c>
      <c r="F943" s="44">
        <v>2</v>
      </c>
      <c r="G943" s="44">
        <v>1</v>
      </c>
      <c r="H943" s="41">
        <v>4416</v>
      </c>
      <c r="I943" s="41">
        <v>4471</v>
      </c>
    </row>
    <row r="944" spans="1:10" ht="18.75" customHeight="1">
      <c r="A944" s="75" t="s">
        <v>68</v>
      </c>
      <c r="B944" s="41">
        <v>20</v>
      </c>
      <c r="C944" s="41">
        <v>7</v>
      </c>
      <c r="D944" s="39" t="s">
        <v>13</v>
      </c>
      <c r="E944" s="43" t="s">
        <v>13</v>
      </c>
      <c r="F944" s="44">
        <v>2</v>
      </c>
      <c r="G944" s="44">
        <v>1</v>
      </c>
      <c r="H944" s="41">
        <v>4178</v>
      </c>
      <c r="I944" s="41">
        <v>4234</v>
      </c>
    </row>
    <row r="945" spans="1:10" ht="18.75" customHeight="1">
      <c r="A945" s="75" t="s">
        <v>68</v>
      </c>
      <c r="B945" s="41">
        <v>30</v>
      </c>
      <c r="C945" s="41">
        <v>3</v>
      </c>
      <c r="D945" s="39" t="s">
        <v>12</v>
      </c>
      <c r="E945" s="43" t="s">
        <v>13</v>
      </c>
      <c r="F945" s="44">
        <v>3</v>
      </c>
      <c r="G945" s="44">
        <v>0</v>
      </c>
      <c r="H945" s="41">
        <v>3815</v>
      </c>
      <c r="I945" s="41">
        <v>3854</v>
      </c>
    </row>
    <row r="946" spans="1:10" ht="18.75" customHeight="1">
      <c r="A946" s="75" t="s">
        <v>68</v>
      </c>
      <c r="B946" s="41">
        <v>30</v>
      </c>
      <c r="C946" s="41">
        <v>4</v>
      </c>
      <c r="D946" s="39" t="s">
        <v>13</v>
      </c>
      <c r="E946" s="43" t="s">
        <v>13</v>
      </c>
      <c r="F946" s="44">
        <v>2</v>
      </c>
      <c r="G946" s="44">
        <v>0</v>
      </c>
      <c r="H946" s="41">
        <v>2648</v>
      </c>
      <c r="I946" s="41">
        <v>2688</v>
      </c>
    </row>
    <row r="947" spans="1:10" ht="18.75" customHeight="1">
      <c r="A947" s="75" t="s">
        <v>68</v>
      </c>
      <c r="B947" s="41">
        <v>40</v>
      </c>
      <c r="C947" s="41">
        <v>1</v>
      </c>
      <c r="D947" s="39" t="s">
        <v>13</v>
      </c>
      <c r="E947" s="43" t="s">
        <v>13</v>
      </c>
      <c r="F947" s="44">
        <v>2</v>
      </c>
      <c r="G947" s="44">
        <v>0</v>
      </c>
      <c r="H947" s="41">
        <v>2526</v>
      </c>
      <c r="I947" s="41">
        <v>2557</v>
      </c>
    </row>
    <row r="948" spans="1:10" ht="18.75" customHeight="1">
      <c r="A948" s="75" t="s">
        <v>68</v>
      </c>
      <c r="B948" s="41">
        <v>60</v>
      </c>
      <c r="C948" s="41">
        <v>1</v>
      </c>
      <c r="D948" s="39" t="s">
        <v>16</v>
      </c>
      <c r="E948" s="43" t="s">
        <v>15</v>
      </c>
      <c r="F948" s="44">
        <v>3</v>
      </c>
      <c r="G948" s="44">
        <v>0</v>
      </c>
      <c r="H948" s="41">
        <v>3793</v>
      </c>
      <c r="I948" s="41">
        <v>3816</v>
      </c>
      <c r="J948">
        <v>3813</v>
      </c>
    </row>
    <row r="949" spans="1:10" ht="18.75" customHeight="1">
      <c r="A949" s="75" t="s">
        <v>68</v>
      </c>
      <c r="B949" s="41">
        <v>60</v>
      </c>
      <c r="C949" s="41">
        <v>2</v>
      </c>
      <c r="D949" s="39" t="s">
        <v>14</v>
      </c>
      <c r="E949" s="43" t="s">
        <v>15</v>
      </c>
      <c r="F949" s="44">
        <v>3</v>
      </c>
      <c r="G949" s="44">
        <v>0</v>
      </c>
      <c r="H949" s="41">
        <v>3027</v>
      </c>
      <c r="I949" s="41">
        <v>3050</v>
      </c>
      <c r="J949">
        <v>3056</v>
      </c>
    </row>
    <row r="950" spans="1:10" ht="18.75" customHeight="1">
      <c r="A950" s="75" t="s">
        <v>68</v>
      </c>
      <c r="B950" s="41">
        <v>80</v>
      </c>
      <c r="C950" s="41">
        <v>1</v>
      </c>
      <c r="D950" s="39" t="s">
        <v>14</v>
      </c>
      <c r="E950" s="43" t="s">
        <v>15</v>
      </c>
      <c r="F950" s="44">
        <v>5</v>
      </c>
      <c r="G950" s="44">
        <v>0</v>
      </c>
      <c r="H950" s="41">
        <v>6312</v>
      </c>
      <c r="I950" s="41">
        <v>6330</v>
      </c>
      <c r="J950">
        <v>6340</v>
      </c>
    </row>
    <row r="951" spans="1:10" ht="18.75" customHeight="1">
      <c r="A951" s="75" t="s">
        <v>68</v>
      </c>
      <c r="B951" s="41">
        <v>80</v>
      </c>
      <c r="C951" s="41">
        <v>2</v>
      </c>
      <c r="D951" s="39" t="s">
        <v>16</v>
      </c>
      <c r="E951" s="43" t="s">
        <v>15</v>
      </c>
      <c r="F951" s="44">
        <v>4</v>
      </c>
      <c r="G951" s="44">
        <v>0</v>
      </c>
      <c r="H951" s="41">
        <v>5151</v>
      </c>
      <c r="I951" s="41">
        <v>5170</v>
      </c>
      <c r="J951">
        <v>5179</v>
      </c>
    </row>
    <row r="952" spans="1:10">
      <c r="A952" s="77" t="s">
        <v>69</v>
      </c>
      <c r="B952" s="15">
        <v>10</v>
      </c>
      <c r="C952" s="15">
        <v>1</v>
      </c>
      <c r="D952" s="16" t="s">
        <v>14</v>
      </c>
      <c r="E952" s="43" t="s">
        <v>15</v>
      </c>
      <c r="F952" s="15">
        <v>5</v>
      </c>
    </row>
    <row r="953" spans="1:10">
      <c r="A953" s="77" t="s">
        <v>69</v>
      </c>
      <c r="B953" s="15">
        <v>10</v>
      </c>
      <c r="C953" s="15">
        <v>2</v>
      </c>
      <c r="D953" s="16" t="s">
        <v>14</v>
      </c>
      <c r="E953" s="43" t="s">
        <v>15</v>
      </c>
      <c r="F953" s="15">
        <v>3</v>
      </c>
    </row>
    <row r="954" spans="1:10">
      <c r="A954" s="77" t="s">
        <v>69</v>
      </c>
      <c r="B954" s="15">
        <v>10</v>
      </c>
      <c r="C954" s="15">
        <v>3</v>
      </c>
      <c r="D954" s="16" t="s">
        <v>14</v>
      </c>
      <c r="E954" s="43" t="s">
        <v>15</v>
      </c>
      <c r="F954" s="15">
        <v>2</v>
      </c>
    </row>
    <row r="955" spans="1:10">
      <c r="A955" s="77" t="s">
        <v>69</v>
      </c>
      <c r="B955" s="15">
        <v>5</v>
      </c>
      <c r="C955" s="15">
        <v>1</v>
      </c>
      <c r="D955" s="16" t="s">
        <v>13</v>
      </c>
      <c r="E955" s="43" t="s">
        <v>13</v>
      </c>
      <c r="F955" s="15">
        <v>2</v>
      </c>
    </row>
    <row r="956" spans="1:10">
      <c r="A956" s="77" t="s">
        <v>69</v>
      </c>
      <c r="B956" s="15">
        <v>8</v>
      </c>
      <c r="C956" s="15">
        <v>1</v>
      </c>
      <c r="D956" s="16" t="s">
        <v>13</v>
      </c>
      <c r="E956" s="43" t="s">
        <v>13</v>
      </c>
      <c r="F956" s="15">
        <v>1</v>
      </c>
    </row>
    <row r="957" spans="1:10">
      <c r="A957" s="77" t="s">
        <v>69</v>
      </c>
      <c r="B957" s="15">
        <v>10</v>
      </c>
      <c r="C957" s="15">
        <v>4</v>
      </c>
      <c r="D957" s="16" t="s">
        <v>13</v>
      </c>
      <c r="E957" s="43" t="s">
        <v>13</v>
      </c>
      <c r="F957" s="15">
        <v>1</v>
      </c>
    </row>
    <row r="958" spans="1:10">
      <c r="A958" s="77" t="s">
        <v>69</v>
      </c>
      <c r="B958" s="15">
        <v>10</v>
      </c>
      <c r="C958" s="15">
        <v>5</v>
      </c>
      <c r="D958" s="16" t="s">
        <v>13</v>
      </c>
      <c r="E958" s="43" t="s">
        <v>13</v>
      </c>
      <c r="F958" s="15">
        <v>1</v>
      </c>
    </row>
    <row r="959" spans="1:10">
      <c r="A959" s="77" t="s">
        <v>69</v>
      </c>
      <c r="B959" s="15">
        <v>10</v>
      </c>
      <c r="C959" s="15">
        <v>6</v>
      </c>
      <c r="D959" s="16" t="s">
        <v>13</v>
      </c>
      <c r="E959" s="43" t="s">
        <v>13</v>
      </c>
      <c r="F959" s="15">
        <v>1</v>
      </c>
    </row>
    <row r="960" spans="1:10">
      <c r="A960" s="77" t="s">
        <v>69</v>
      </c>
      <c r="B960" s="15">
        <v>15</v>
      </c>
      <c r="C960" s="15">
        <v>1</v>
      </c>
      <c r="D960" s="16" t="s">
        <v>13</v>
      </c>
      <c r="E960" s="43" t="s">
        <v>13</v>
      </c>
      <c r="F960" s="15">
        <v>1</v>
      </c>
    </row>
    <row r="961" spans="1:6">
      <c r="A961" s="77" t="s">
        <v>69</v>
      </c>
      <c r="B961" s="15">
        <v>20</v>
      </c>
      <c r="C961" s="15">
        <v>1</v>
      </c>
      <c r="D961" s="16" t="s">
        <v>13</v>
      </c>
      <c r="E961" s="43" t="s">
        <v>13</v>
      </c>
      <c r="F961" s="15">
        <v>2</v>
      </c>
    </row>
    <row r="962" spans="1:6">
      <c r="A962" s="77" t="s">
        <v>69</v>
      </c>
      <c r="B962" s="15">
        <v>20</v>
      </c>
      <c r="C962" s="15">
        <v>2</v>
      </c>
      <c r="D962" s="16" t="s">
        <v>16</v>
      </c>
      <c r="E962" s="43" t="s">
        <v>15</v>
      </c>
      <c r="F962" s="15">
        <v>1</v>
      </c>
    </row>
    <row r="963" spans="1:6">
      <c r="A963" s="77" t="s">
        <v>69</v>
      </c>
      <c r="B963" s="15">
        <v>20</v>
      </c>
      <c r="C963" s="15">
        <v>3</v>
      </c>
      <c r="D963" s="16" t="s">
        <v>14</v>
      </c>
      <c r="E963" s="43" t="s">
        <v>15</v>
      </c>
      <c r="F963" s="15">
        <v>1</v>
      </c>
    </row>
    <row r="964" spans="1:6">
      <c r="A964" s="77" t="s">
        <v>69</v>
      </c>
      <c r="B964" s="15">
        <v>20</v>
      </c>
      <c r="C964" s="15">
        <v>4</v>
      </c>
      <c r="D964" s="16" t="s">
        <v>14</v>
      </c>
      <c r="E964" s="43" t="s">
        <v>15</v>
      </c>
      <c r="F964" s="15">
        <v>1</v>
      </c>
    </row>
    <row r="965" spans="1:6">
      <c r="A965" s="77" t="s">
        <v>69</v>
      </c>
      <c r="B965" s="15">
        <v>20</v>
      </c>
      <c r="C965" s="15">
        <v>5</v>
      </c>
      <c r="D965" s="16" t="s">
        <v>14</v>
      </c>
      <c r="E965" s="43" t="s">
        <v>15</v>
      </c>
      <c r="F965" s="15">
        <v>1</v>
      </c>
    </row>
    <row r="966" spans="1:6">
      <c r="A966" s="77" t="s">
        <v>69</v>
      </c>
      <c r="B966" s="15">
        <v>20</v>
      </c>
      <c r="C966" s="15">
        <v>6</v>
      </c>
      <c r="D966" s="16" t="s">
        <v>14</v>
      </c>
      <c r="E966" s="43" t="s">
        <v>15</v>
      </c>
      <c r="F966" s="15">
        <v>1</v>
      </c>
    </row>
    <row r="967" spans="1:6">
      <c r="A967" s="77" t="s">
        <v>70</v>
      </c>
      <c r="B967" s="15">
        <v>10</v>
      </c>
      <c r="C967" s="15">
        <v>1</v>
      </c>
      <c r="D967" s="16" t="s">
        <v>13</v>
      </c>
      <c r="E967" s="43" t="s">
        <v>13</v>
      </c>
      <c r="F967" s="15">
        <v>3</v>
      </c>
    </row>
    <row r="968" spans="1:6">
      <c r="A968" s="77" t="s">
        <v>70</v>
      </c>
      <c r="B968" s="15">
        <v>10</v>
      </c>
      <c r="C968" s="15">
        <v>2</v>
      </c>
      <c r="D968" s="16" t="s">
        <v>13</v>
      </c>
      <c r="E968" s="43" t="s">
        <v>13</v>
      </c>
      <c r="F968" s="15">
        <v>2</v>
      </c>
    </row>
    <row r="969" spans="1:6">
      <c r="A969" s="77" t="s">
        <v>70</v>
      </c>
      <c r="B969" s="15">
        <v>15</v>
      </c>
      <c r="C969" s="15">
        <v>1</v>
      </c>
      <c r="D969" s="16" t="s">
        <v>16</v>
      </c>
      <c r="E969" s="43" t="s">
        <v>15</v>
      </c>
      <c r="F969" s="15">
        <v>5</v>
      </c>
    </row>
    <row r="970" spans="1:6">
      <c r="A970" s="77" t="s">
        <v>70</v>
      </c>
      <c r="B970" s="15">
        <v>15</v>
      </c>
      <c r="C970" s="15">
        <v>2</v>
      </c>
      <c r="D970" s="16" t="s">
        <v>13</v>
      </c>
      <c r="E970" s="43" t="s">
        <v>13</v>
      </c>
      <c r="F970" s="15">
        <v>3</v>
      </c>
    </row>
    <row r="971" spans="1:6">
      <c r="A971" s="77" t="s">
        <v>70</v>
      </c>
      <c r="B971" s="15">
        <v>20</v>
      </c>
      <c r="C971" s="15">
        <v>1</v>
      </c>
      <c r="D971" s="16" t="s">
        <v>16</v>
      </c>
      <c r="E971" s="43" t="s">
        <v>15</v>
      </c>
      <c r="F971" s="15">
        <v>7</v>
      </c>
    </row>
    <row r="972" spans="1:6">
      <c r="A972" s="77" t="s">
        <v>70</v>
      </c>
      <c r="B972" s="15">
        <v>15</v>
      </c>
      <c r="C972" s="15">
        <v>3</v>
      </c>
      <c r="D972" s="16" t="s">
        <v>13</v>
      </c>
      <c r="E972" s="43" t="s">
        <v>13</v>
      </c>
      <c r="F972" s="15">
        <v>3</v>
      </c>
    </row>
    <row r="973" spans="1:6">
      <c r="A973" s="77" t="s">
        <v>70</v>
      </c>
      <c r="B973" s="15">
        <v>15</v>
      </c>
      <c r="C973" s="15">
        <v>4</v>
      </c>
      <c r="D973" s="16" t="s">
        <v>13</v>
      </c>
      <c r="E973" s="43" t="s">
        <v>13</v>
      </c>
      <c r="F973" s="15">
        <v>3</v>
      </c>
    </row>
    <row r="974" spans="1:6">
      <c r="A974" s="77" t="s">
        <v>70</v>
      </c>
      <c r="B974" s="15">
        <v>18</v>
      </c>
      <c r="C974" s="15">
        <v>1</v>
      </c>
      <c r="D974" s="16" t="s">
        <v>12</v>
      </c>
      <c r="E974" s="43" t="s">
        <v>13</v>
      </c>
      <c r="F974" s="15">
        <v>4</v>
      </c>
    </row>
    <row r="975" spans="1:6">
      <c r="A975" s="77" t="s">
        <v>70</v>
      </c>
      <c r="B975" s="15">
        <v>18</v>
      </c>
      <c r="C975" s="15">
        <v>2</v>
      </c>
      <c r="D975" s="16" t="s">
        <v>13</v>
      </c>
      <c r="E975" s="43" t="s">
        <v>13</v>
      </c>
      <c r="F975" s="15">
        <v>3</v>
      </c>
    </row>
    <row r="976" spans="1:6">
      <c r="A976" s="77" t="s">
        <v>70</v>
      </c>
      <c r="B976" s="15">
        <v>20</v>
      </c>
      <c r="C976" s="15">
        <v>2</v>
      </c>
      <c r="D976" s="16" t="s">
        <v>12</v>
      </c>
      <c r="E976" s="43" t="s">
        <v>13</v>
      </c>
      <c r="F976" s="15">
        <v>4</v>
      </c>
    </row>
    <row r="977" spans="1:6">
      <c r="A977" s="77" t="s">
        <v>70</v>
      </c>
      <c r="B977" s="15">
        <v>20</v>
      </c>
      <c r="C977" s="15">
        <v>3</v>
      </c>
      <c r="D977" s="16" t="s">
        <v>12</v>
      </c>
      <c r="E977" s="43" t="s">
        <v>13</v>
      </c>
      <c r="F977" s="15">
        <v>4</v>
      </c>
    </row>
    <row r="978" spans="1:6">
      <c r="A978" s="77" t="s">
        <v>70</v>
      </c>
      <c r="B978" s="15">
        <v>23</v>
      </c>
      <c r="C978" s="15">
        <v>1</v>
      </c>
      <c r="D978" s="16" t="s">
        <v>16</v>
      </c>
      <c r="E978" s="43" t="s">
        <v>15</v>
      </c>
      <c r="F978" s="15">
        <v>6</v>
      </c>
    </row>
    <row r="979" spans="1:6">
      <c r="A979" s="77" t="s">
        <v>70</v>
      </c>
      <c r="B979" s="15">
        <v>20</v>
      </c>
      <c r="C979" s="15">
        <v>4</v>
      </c>
      <c r="D979" s="16" t="s">
        <v>16</v>
      </c>
      <c r="E979" s="43" t="s">
        <v>15</v>
      </c>
      <c r="F979" s="15">
        <v>6</v>
      </c>
    </row>
    <row r="980" spans="1:6">
      <c r="A980" s="77" t="s">
        <v>70</v>
      </c>
      <c r="B980" s="15">
        <v>20</v>
      </c>
      <c r="C980" s="15">
        <v>5</v>
      </c>
      <c r="D980" s="16" t="s">
        <v>14</v>
      </c>
      <c r="E980" s="43" t="s">
        <v>15</v>
      </c>
      <c r="F980" s="15">
        <v>5</v>
      </c>
    </row>
    <row r="981" spans="1:6">
      <c r="A981" s="77" t="s">
        <v>70</v>
      </c>
      <c r="B981" s="15">
        <v>20</v>
      </c>
      <c r="C981" s="15">
        <v>6</v>
      </c>
      <c r="D981" s="16" t="s">
        <v>16</v>
      </c>
      <c r="E981" s="43" t="s">
        <v>15</v>
      </c>
      <c r="F981" s="15">
        <v>6</v>
      </c>
    </row>
    <row r="982" spans="1:6">
      <c r="A982" s="77" t="s">
        <v>70</v>
      </c>
      <c r="B982" s="15">
        <v>20</v>
      </c>
      <c r="C982" s="15">
        <v>7</v>
      </c>
      <c r="D982" s="16" t="s">
        <v>16</v>
      </c>
      <c r="E982" s="43" t="s">
        <v>15</v>
      </c>
      <c r="F982" s="15">
        <v>6</v>
      </c>
    </row>
    <row r="983" spans="1:6">
      <c r="A983" s="77" t="s">
        <v>70</v>
      </c>
      <c r="B983" s="15">
        <v>20</v>
      </c>
      <c r="C983" s="15">
        <v>8</v>
      </c>
      <c r="D983" s="16" t="s">
        <v>16</v>
      </c>
      <c r="E983" s="43" t="s">
        <v>15</v>
      </c>
      <c r="F983" s="15">
        <v>5</v>
      </c>
    </row>
    <row r="984" spans="1:6">
      <c r="A984" s="77" t="s">
        <v>70</v>
      </c>
      <c r="B984" s="15">
        <v>18</v>
      </c>
      <c r="C984" s="15">
        <v>3</v>
      </c>
      <c r="D984" s="16" t="s">
        <v>12</v>
      </c>
      <c r="E984" s="43" t="s">
        <v>13</v>
      </c>
      <c r="F984" s="15">
        <v>3</v>
      </c>
    </row>
    <row r="985" spans="1:6">
      <c r="A985" s="77" t="s">
        <v>70</v>
      </c>
      <c r="B985" s="15">
        <v>18</v>
      </c>
      <c r="C985" s="15">
        <v>4</v>
      </c>
      <c r="D985" s="16" t="s">
        <v>12</v>
      </c>
      <c r="E985" s="43" t="s">
        <v>13</v>
      </c>
      <c r="F985" s="15">
        <v>2</v>
      </c>
    </row>
    <row r="986" spans="1:6">
      <c r="A986" s="77" t="s">
        <v>71</v>
      </c>
      <c r="B986" s="15">
        <v>10</v>
      </c>
      <c r="C986" s="15">
        <v>1</v>
      </c>
      <c r="D986" s="16" t="s">
        <v>13</v>
      </c>
      <c r="E986" s="43" t="s">
        <v>13</v>
      </c>
      <c r="F986" s="15">
        <v>1</v>
      </c>
    </row>
    <row r="987" spans="1:6">
      <c r="A987" s="77" t="s">
        <v>71</v>
      </c>
      <c r="B987" s="15">
        <v>15</v>
      </c>
      <c r="C987" s="15">
        <v>1</v>
      </c>
      <c r="D987" s="16" t="s">
        <v>13</v>
      </c>
      <c r="E987" s="43" t="s">
        <v>13</v>
      </c>
      <c r="F987" s="15">
        <v>1</v>
      </c>
    </row>
    <row r="988" spans="1:6">
      <c r="A988" s="77" t="s">
        <v>71</v>
      </c>
      <c r="B988" s="15">
        <v>20</v>
      </c>
      <c r="C988" s="15">
        <v>1</v>
      </c>
      <c r="D988" s="16" t="s">
        <v>13</v>
      </c>
      <c r="E988" s="43" t="s">
        <v>13</v>
      </c>
      <c r="F988" s="15">
        <v>1</v>
      </c>
    </row>
    <row r="989" spans="1:6">
      <c r="A989" s="77" t="s">
        <v>71</v>
      </c>
      <c r="B989" s="15">
        <v>25</v>
      </c>
      <c r="C989" s="15">
        <v>1</v>
      </c>
      <c r="D989" s="16" t="s">
        <v>14</v>
      </c>
      <c r="E989" s="43" t="s">
        <v>15</v>
      </c>
      <c r="F989" s="15">
        <v>2</v>
      </c>
    </row>
    <row r="990" spans="1:6">
      <c r="A990" s="77" t="s">
        <v>71</v>
      </c>
      <c r="B990" s="15">
        <v>25</v>
      </c>
      <c r="C990" s="15">
        <v>2</v>
      </c>
      <c r="D990" s="16" t="s">
        <v>14</v>
      </c>
      <c r="E990" s="43" t="s">
        <v>15</v>
      </c>
      <c r="F990" s="15">
        <v>2</v>
      </c>
    </row>
    <row r="991" spans="1:6">
      <c r="A991" s="77" t="s">
        <v>71</v>
      </c>
      <c r="B991" s="15">
        <v>25</v>
      </c>
      <c r="C991" s="15">
        <v>3</v>
      </c>
      <c r="D991" s="16" t="s">
        <v>14</v>
      </c>
      <c r="E991" s="16" t="s">
        <v>15</v>
      </c>
      <c r="F991" s="15">
        <v>3</v>
      </c>
    </row>
    <row r="992" spans="1:6">
      <c r="A992" s="77" t="s">
        <v>71</v>
      </c>
      <c r="B992" s="15">
        <v>20</v>
      </c>
      <c r="C992" s="15">
        <v>2</v>
      </c>
      <c r="D992" s="16" t="s">
        <v>13</v>
      </c>
      <c r="E992" s="43" t="s">
        <v>13</v>
      </c>
      <c r="F992" s="15">
        <v>1</v>
      </c>
    </row>
    <row r="993" spans="1:6">
      <c r="A993" s="77" t="s">
        <v>71</v>
      </c>
      <c r="B993" s="15">
        <v>23</v>
      </c>
      <c r="C993" s="15">
        <v>1</v>
      </c>
      <c r="D993" s="16" t="s">
        <v>13</v>
      </c>
      <c r="E993" s="43" t="s">
        <v>13</v>
      </c>
      <c r="F993" s="15">
        <v>1</v>
      </c>
    </row>
    <row r="994" spans="1:6">
      <c r="A994" s="77" t="s">
        <v>71</v>
      </c>
      <c r="B994" s="15">
        <v>25</v>
      </c>
      <c r="C994" s="15">
        <v>4</v>
      </c>
      <c r="D994" s="16" t="s">
        <v>13</v>
      </c>
      <c r="E994" s="43" t="s">
        <v>13</v>
      </c>
      <c r="F994" s="15">
        <v>1</v>
      </c>
    </row>
    <row r="995" spans="1:6">
      <c r="A995" s="77" t="s">
        <v>71</v>
      </c>
      <c r="B995" s="15">
        <v>25</v>
      </c>
      <c r="C995" s="15">
        <v>5</v>
      </c>
      <c r="D995" s="16" t="s">
        <v>13</v>
      </c>
      <c r="E995" s="43" t="s">
        <v>13</v>
      </c>
      <c r="F995" s="15">
        <v>2</v>
      </c>
    </row>
    <row r="996" spans="1:6">
      <c r="A996" s="77" t="s">
        <v>71</v>
      </c>
      <c r="B996" s="15">
        <v>25</v>
      </c>
      <c r="C996" s="15">
        <v>6</v>
      </c>
      <c r="D996" s="16" t="s">
        <v>13</v>
      </c>
      <c r="E996" s="43" t="s">
        <v>13</v>
      </c>
      <c r="F996" s="15">
        <v>1</v>
      </c>
    </row>
    <row r="997" spans="1:6">
      <c r="A997" s="77" t="s">
        <v>71</v>
      </c>
      <c r="B997" s="15">
        <v>25</v>
      </c>
      <c r="C997" s="15">
        <v>7</v>
      </c>
      <c r="D997" s="16" t="s">
        <v>13</v>
      </c>
      <c r="E997" s="43" t="s">
        <v>13</v>
      </c>
      <c r="F997" s="15">
        <v>2</v>
      </c>
    </row>
    <row r="998" spans="1:6">
      <c r="A998" s="77" t="s">
        <v>71</v>
      </c>
      <c r="B998" s="15">
        <v>30</v>
      </c>
      <c r="C998" s="15">
        <v>1</v>
      </c>
      <c r="D998" s="16" t="s">
        <v>13</v>
      </c>
      <c r="E998" s="43" t="s">
        <v>13</v>
      </c>
      <c r="F998" s="15">
        <v>2</v>
      </c>
    </row>
    <row r="999" spans="1:6">
      <c r="A999" s="77" t="s">
        <v>71</v>
      </c>
      <c r="B999" s="15">
        <v>35</v>
      </c>
      <c r="C999" s="15">
        <v>1</v>
      </c>
      <c r="D999" s="16" t="s">
        <v>14</v>
      </c>
      <c r="E999" s="16" t="s">
        <v>15</v>
      </c>
      <c r="F999" s="15">
        <v>3</v>
      </c>
    </row>
    <row r="1000" spans="1:6">
      <c r="A1000" s="77" t="s">
        <v>71</v>
      </c>
      <c r="B1000" s="15">
        <v>35</v>
      </c>
      <c r="C1000" s="15">
        <v>2</v>
      </c>
      <c r="D1000" s="16" t="s">
        <v>13</v>
      </c>
      <c r="E1000" s="43" t="s">
        <v>13</v>
      </c>
      <c r="F1000" s="15">
        <v>4</v>
      </c>
    </row>
    <row r="1001" spans="1:6">
      <c r="A1001" s="77" t="s">
        <v>71</v>
      </c>
      <c r="B1001" s="15">
        <v>25</v>
      </c>
      <c r="C1001" s="15">
        <v>8</v>
      </c>
      <c r="D1001" s="16" t="s">
        <v>13</v>
      </c>
      <c r="E1001" s="43" t="s">
        <v>13</v>
      </c>
      <c r="F1001" s="15">
        <v>3</v>
      </c>
    </row>
    <row r="1002" spans="1:6">
      <c r="A1002" s="77" t="s">
        <v>71</v>
      </c>
      <c r="B1002" s="15">
        <v>10</v>
      </c>
      <c r="C1002" s="15">
        <v>2</v>
      </c>
      <c r="D1002" s="16" t="s">
        <v>13</v>
      </c>
      <c r="E1002" s="43" t="s">
        <v>13</v>
      </c>
      <c r="F1002" s="15">
        <v>1</v>
      </c>
    </row>
    <row r="1003" spans="1:6">
      <c r="A1003" s="77" t="s">
        <v>72</v>
      </c>
      <c r="B1003" s="15">
        <v>10</v>
      </c>
      <c r="C1003" s="15">
        <v>1</v>
      </c>
      <c r="D1003" s="16" t="s">
        <v>13</v>
      </c>
      <c r="E1003" s="43" t="s">
        <v>13</v>
      </c>
      <c r="F1003" s="15">
        <v>5</v>
      </c>
    </row>
    <row r="1004" spans="1:6">
      <c r="A1004" s="77" t="s">
        <v>72</v>
      </c>
      <c r="B1004" s="15">
        <v>10</v>
      </c>
      <c r="C1004" s="15">
        <v>2</v>
      </c>
      <c r="D1004" s="16" t="s">
        <v>13</v>
      </c>
      <c r="E1004" s="43" t="s">
        <v>13</v>
      </c>
      <c r="F1004" s="15">
        <v>4</v>
      </c>
    </row>
    <row r="1005" spans="1:6">
      <c r="A1005" s="77" t="s">
        <v>72</v>
      </c>
      <c r="B1005" s="15">
        <v>15</v>
      </c>
      <c r="C1005" s="15">
        <v>1</v>
      </c>
      <c r="D1005" s="16" t="s">
        <v>13</v>
      </c>
      <c r="E1005" s="43" t="s">
        <v>13</v>
      </c>
      <c r="F1005" s="15">
        <v>4</v>
      </c>
    </row>
    <row r="1006" spans="1:6">
      <c r="A1006" s="77" t="s">
        <v>72</v>
      </c>
      <c r="B1006" s="15">
        <v>20</v>
      </c>
      <c r="C1006" s="15">
        <v>1</v>
      </c>
      <c r="D1006" s="16" t="s">
        <v>16</v>
      </c>
      <c r="E1006" s="16" t="s">
        <v>15</v>
      </c>
      <c r="F1006" s="15">
        <v>7</v>
      </c>
    </row>
    <row r="1007" spans="1:6">
      <c r="A1007" s="77" t="s">
        <v>72</v>
      </c>
      <c r="B1007" s="15">
        <v>15</v>
      </c>
      <c r="C1007" s="15">
        <v>2</v>
      </c>
      <c r="D1007" s="16" t="s">
        <v>16</v>
      </c>
      <c r="E1007" s="16" t="s">
        <v>15</v>
      </c>
      <c r="F1007" s="15">
        <v>6</v>
      </c>
    </row>
    <row r="1008" spans="1:6">
      <c r="A1008" s="77" t="s">
        <v>72</v>
      </c>
      <c r="B1008" s="15">
        <v>15</v>
      </c>
      <c r="C1008" s="15">
        <v>3</v>
      </c>
      <c r="D1008" s="16" t="s">
        <v>12</v>
      </c>
      <c r="E1008" s="43" t="s">
        <v>13</v>
      </c>
      <c r="F1008" s="15">
        <v>7</v>
      </c>
    </row>
    <row r="1009" spans="1:6">
      <c r="A1009" s="77" t="s">
        <v>72</v>
      </c>
      <c r="B1009" s="15">
        <v>15</v>
      </c>
      <c r="C1009" s="15">
        <v>4</v>
      </c>
      <c r="D1009" s="16" t="s">
        <v>12</v>
      </c>
      <c r="E1009" s="43" t="s">
        <v>13</v>
      </c>
      <c r="F1009" s="15">
        <v>6</v>
      </c>
    </row>
    <row r="1010" spans="1:6">
      <c r="A1010" s="77" t="s">
        <v>72</v>
      </c>
      <c r="B1010" s="15">
        <v>15</v>
      </c>
      <c r="C1010" s="15">
        <v>5</v>
      </c>
      <c r="D1010" s="16" t="s">
        <v>16</v>
      </c>
      <c r="E1010" s="16" t="s">
        <v>15</v>
      </c>
      <c r="F1010" s="15">
        <v>6</v>
      </c>
    </row>
    <row r="1011" spans="1:6">
      <c r="A1011" s="77" t="s">
        <v>72</v>
      </c>
      <c r="B1011" s="15">
        <v>15</v>
      </c>
      <c r="C1011" s="15">
        <v>6</v>
      </c>
      <c r="D1011" s="16" t="s">
        <v>16</v>
      </c>
      <c r="E1011" s="16" t="s">
        <v>15</v>
      </c>
      <c r="F1011" s="15">
        <v>6</v>
      </c>
    </row>
    <row r="1012" spans="1:6">
      <c r="A1012" s="77" t="s">
        <v>72</v>
      </c>
      <c r="B1012" s="15">
        <v>15</v>
      </c>
      <c r="C1012" s="15">
        <v>7</v>
      </c>
      <c r="D1012" s="16" t="s">
        <v>14</v>
      </c>
      <c r="E1012" s="16" t="s">
        <v>15</v>
      </c>
      <c r="F1012" s="15">
        <v>5</v>
      </c>
    </row>
    <row r="1013" spans="1:6">
      <c r="A1013" s="77" t="s">
        <v>72</v>
      </c>
      <c r="B1013" s="15">
        <v>13</v>
      </c>
      <c r="C1013" s="15">
        <v>1</v>
      </c>
      <c r="D1013" s="16" t="s">
        <v>13</v>
      </c>
      <c r="E1013" s="43" t="s">
        <v>13</v>
      </c>
      <c r="F1013" s="15">
        <v>6</v>
      </c>
    </row>
    <row r="1014" spans="1:6">
      <c r="A1014" s="77" t="s">
        <v>72</v>
      </c>
      <c r="B1014" s="15">
        <v>15</v>
      </c>
      <c r="C1014" s="15">
        <v>8</v>
      </c>
      <c r="D1014" s="16" t="s">
        <v>13</v>
      </c>
      <c r="E1014" s="43" t="s">
        <v>13</v>
      </c>
      <c r="F1014" s="15">
        <v>6</v>
      </c>
    </row>
    <row r="1015" spans="1:6">
      <c r="A1015" s="77" t="s">
        <v>72</v>
      </c>
      <c r="B1015" s="15">
        <v>15</v>
      </c>
      <c r="C1015" s="15">
        <v>9</v>
      </c>
      <c r="D1015" s="16" t="s">
        <v>16</v>
      </c>
      <c r="E1015" s="16" t="s">
        <v>15</v>
      </c>
      <c r="F1015" s="15">
        <v>7</v>
      </c>
    </row>
    <row r="1016" spans="1:6">
      <c r="A1016" s="77" t="s">
        <v>72</v>
      </c>
      <c r="B1016" s="15">
        <v>15</v>
      </c>
      <c r="C1016" s="15">
        <v>10</v>
      </c>
      <c r="D1016" s="16" t="s">
        <v>12</v>
      </c>
      <c r="E1016" s="43" t="s">
        <v>13</v>
      </c>
      <c r="F1016" s="15">
        <v>6</v>
      </c>
    </row>
    <row r="1017" spans="1:6">
      <c r="A1017" s="77" t="s">
        <v>72</v>
      </c>
      <c r="B1017" s="15">
        <v>10</v>
      </c>
      <c r="C1017" s="15">
        <v>3</v>
      </c>
      <c r="D1017" s="16" t="s">
        <v>12</v>
      </c>
      <c r="E1017" s="43" t="s">
        <v>13</v>
      </c>
      <c r="F1017" s="15">
        <v>6</v>
      </c>
    </row>
    <row r="1018" spans="1:6">
      <c r="A1018" s="77" t="s">
        <v>72</v>
      </c>
      <c r="B1018" s="15">
        <v>20</v>
      </c>
      <c r="C1018" s="15">
        <v>2</v>
      </c>
      <c r="D1018" s="16" t="s">
        <v>16</v>
      </c>
      <c r="E1018" s="16" t="s">
        <v>15</v>
      </c>
      <c r="F1018" s="15">
        <v>7</v>
      </c>
    </row>
    <row r="1019" spans="1:6">
      <c r="A1019" s="77" t="s">
        <v>72</v>
      </c>
      <c r="B1019" s="15">
        <v>20</v>
      </c>
      <c r="C1019" s="15">
        <v>3</v>
      </c>
      <c r="D1019" s="16" t="s">
        <v>16</v>
      </c>
      <c r="E1019" s="16" t="s">
        <v>15</v>
      </c>
      <c r="F1019" s="15">
        <v>7</v>
      </c>
    </row>
    <row r="1020" spans="1:6">
      <c r="A1020" s="77" t="s">
        <v>73</v>
      </c>
      <c r="B1020" s="15">
        <v>10</v>
      </c>
      <c r="C1020" s="15">
        <v>1</v>
      </c>
      <c r="D1020" s="16" t="s">
        <v>13</v>
      </c>
      <c r="E1020" s="43" t="s">
        <v>13</v>
      </c>
      <c r="F1020" s="15">
        <v>2</v>
      </c>
    </row>
    <row r="1021" spans="1:6">
      <c r="A1021" s="77" t="s">
        <v>73</v>
      </c>
      <c r="B1021" s="15">
        <v>15</v>
      </c>
      <c r="C1021" s="15">
        <v>1</v>
      </c>
      <c r="D1021" s="16" t="s">
        <v>13</v>
      </c>
      <c r="E1021" s="43" t="s">
        <v>13</v>
      </c>
      <c r="F1021" s="15">
        <v>3</v>
      </c>
    </row>
    <row r="1022" spans="1:6">
      <c r="A1022" s="77" t="s">
        <v>73</v>
      </c>
      <c r="B1022" s="15">
        <v>20</v>
      </c>
      <c r="C1022" s="15">
        <v>1</v>
      </c>
      <c r="D1022" s="16" t="s">
        <v>14</v>
      </c>
      <c r="E1022" s="16" t="s">
        <v>15</v>
      </c>
      <c r="F1022" s="15">
        <v>4</v>
      </c>
    </row>
    <row r="1023" spans="1:6">
      <c r="A1023" s="77" t="s">
        <v>73</v>
      </c>
      <c r="B1023" s="15">
        <v>20</v>
      </c>
      <c r="C1023" s="15">
        <v>2</v>
      </c>
      <c r="D1023" s="16" t="s">
        <v>12</v>
      </c>
      <c r="E1023" s="43" t="s">
        <v>13</v>
      </c>
      <c r="F1023" s="15">
        <v>5</v>
      </c>
    </row>
    <row r="1024" spans="1:6">
      <c r="A1024" s="77" t="s">
        <v>73</v>
      </c>
      <c r="B1024" s="15">
        <v>25</v>
      </c>
      <c r="C1024" s="15">
        <v>1</v>
      </c>
      <c r="D1024" s="16" t="s">
        <v>12</v>
      </c>
      <c r="E1024" s="43" t="s">
        <v>13</v>
      </c>
      <c r="F1024" s="15">
        <v>6</v>
      </c>
    </row>
    <row r="1025" spans="1:6">
      <c r="A1025" s="77" t="s">
        <v>73</v>
      </c>
      <c r="B1025" s="15">
        <v>30</v>
      </c>
      <c r="C1025" s="15">
        <v>1</v>
      </c>
      <c r="D1025" s="16" t="s">
        <v>12</v>
      </c>
      <c r="E1025" s="43" t="s">
        <v>13</v>
      </c>
      <c r="F1025" s="15">
        <v>6</v>
      </c>
    </row>
    <row r="1026" spans="1:6">
      <c r="A1026" s="77" t="s">
        <v>73</v>
      </c>
      <c r="B1026" s="15">
        <v>35</v>
      </c>
      <c r="C1026" s="15">
        <v>1</v>
      </c>
      <c r="D1026" s="16" t="s">
        <v>14</v>
      </c>
      <c r="E1026" s="16" t="s">
        <v>15</v>
      </c>
      <c r="F1026" s="15">
        <v>7</v>
      </c>
    </row>
    <row r="1027" spans="1:6">
      <c r="A1027" s="77" t="s">
        <v>73</v>
      </c>
      <c r="B1027" s="15">
        <v>35</v>
      </c>
      <c r="C1027" s="15">
        <v>2</v>
      </c>
      <c r="D1027" s="16" t="s">
        <v>14</v>
      </c>
      <c r="E1027" s="16" t="s">
        <v>15</v>
      </c>
      <c r="F1027" s="15">
        <v>7</v>
      </c>
    </row>
    <row r="1028" spans="1:6">
      <c r="A1028" s="77" t="s">
        <v>73</v>
      </c>
      <c r="B1028" s="15">
        <v>33</v>
      </c>
      <c r="C1028" s="15">
        <v>1</v>
      </c>
      <c r="D1028" s="16" t="s">
        <v>14</v>
      </c>
      <c r="E1028" s="16" t="s">
        <v>15</v>
      </c>
      <c r="F1028" s="15">
        <v>7</v>
      </c>
    </row>
    <row r="1029" spans="1:6">
      <c r="A1029" s="77" t="s">
        <v>73</v>
      </c>
      <c r="B1029" s="15">
        <v>30</v>
      </c>
      <c r="C1029" s="15">
        <v>2</v>
      </c>
      <c r="D1029" s="16" t="s">
        <v>12</v>
      </c>
      <c r="E1029" s="43" t="s">
        <v>13</v>
      </c>
      <c r="F1029" s="15">
        <v>5</v>
      </c>
    </row>
    <row r="1030" spans="1:6">
      <c r="A1030" s="77" t="s">
        <v>73</v>
      </c>
      <c r="B1030" s="15">
        <v>33</v>
      </c>
      <c r="C1030" s="15">
        <v>2</v>
      </c>
      <c r="D1030" s="16" t="s">
        <v>12</v>
      </c>
      <c r="E1030" s="43" t="s">
        <v>13</v>
      </c>
      <c r="F1030" s="15">
        <v>5</v>
      </c>
    </row>
    <row r="1031" spans="1:6">
      <c r="A1031" s="77" t="s">
        <v>73</v>
      </c>
      <c r="B1031" s="15">
        <v>35</v>
      </c>
      <c r="C1031" s="15">
        <v>3</v>
      </c>
      <c r="D1031" s="16" t="s">
        <v>14</v>
      </c>
      <c r="E1031" s="16" t="s">
        <v>15</v>
      </c>
      <c r="F1031" s="15">
        <v>7</v>
      </c>
    </row>
    <row r="1032" spans="1:6">
      <c r="A1032" s="77" t="s">
        <v>73</v>
      </c>
      <c r="B1032" s="15">
        <v>33</v>
      </c>
      <c r="C1032" s="15">
        <v>3</v>
      </c>
      <c r="D1032" s="16" t="s">
        <v>14</v>
      </c>
      <c r="E1032" s="16" t="s">
        <v>15</v>
      </c>
      <c r="F1032" s="15">
        <v>6</v>
      </c>
    </row>
    <row r="1033" spans="1:6">
      <c r="A1033" s="77" t="s">
        <v>73</v>
      </c>
      <c r="B1033" s="15">
        <v>33</v>
      </c>
      <c r="C1033" s="15">
        <v>4</v>
      </c>
      <c r="D1033" s="16" t="s">
        <v>12</v>
      </c>
      <c r="E1033" s="43" t="s">
        <v>13</v>
      </c>
      <c r="F1033" s="15">
        <v>6</v>
      </c>
    </row>
    <row r="1034" spans="1:6">
      <c r="A1034" s="77" t="s">
        <v>73</v>
      </c>
      <c r="B1034" s="15">
        <v>33</v>
      </c>
      <c r="C1034" s="15">
        <v>5</v>
      </c>
      <c r="D1034" s="16" t="s">
        <v>12</v>
      </c>
      <c r="E1034" s="43" t="s">
        <v>13</v>
      </c>
      <c r="F1034" s="15">
        <v>6</v>
      </c>
    </row>
    <row r="1035" spans="1:6">
      <c r="A1035" s="77" t="s">
        <v>73</v>
      </c>
      <c r="B1035" s="15">
        <v>33</v>
      </c>
      <c r="C1035" s="15">
        <v>6</v>
      </c>
      <c r="D1035" s="16" t="s">
        <v>12</v>
      </c>
      <c r="E1035" s="43" t="s">
        <v>13</v>
      </c>
      <c r="F1035" s="15">
        <v>6</v>
      </c>
    </row>
    <row r="1036" spans="1:6">
      <c r="A1036" s="77" t="s">
        <v>73</v>
      </c>
      <c r="B1036" s="15">
        <v>35</v>
      </c>
      <c r="C1036" s="15">
        <v>4</v>
      </c>
      <c r="D1036" s="16" t="s">
        <v>12</v>
      </c>
      <c r="E1036" s="43" t="s">
        <v>13</v>
      </c>
      <c r="F1036" s="15">
        <v>6</v>
      </c>
    </row>
    <row r="1037" spans="1:6">
      <c r="A1037" s="77" t="s">
        <v>73</v>
      </c>
      <c r="B1037" s="15">
        <v>35</v>
      </c>
      <c r="C1037" s="15">
        <v>5</v>
      </c>
      <c r="D1037" s="16" t="s">
        <v>14</v>
      </c>
      <c r="E1037" s="16" t="s">
        <v>15</v>
      </c>
      <c r="F1037" s="15">
        <v>7</v>
      </c>
    </row>
    <row r="1038" spans="1:6">
      <c r="A1038" s="77" t="s">
        <v>73</v>
      </c>
      <c r="B1038" s="15">
        <v>35</v>
      </c>
      <c r="C1038" s="15">
        <v>6</v>
      </c>
      <c r="D1038" s="16" t="s">
        <v>12</v>
      </c>
      <c r="E1038" s="43" t="s">
        <v>13</v>
      </c>
      <c r="F1038" s="15">
        <v>7</v>
      </c>
    </row>
    <row r="1039" spans="1:6">
      <c r="A1039" s="77" t="s">
        <v>73</v>
      </c>
      <c r="B1039" s="15">
        <v>35</v>
      </c>
      <c r="C1039" s="15">
        <v>7</v>
      </c>
      <c r="D1039" s="16" t="s">
        <v>14</v>
      </c>
      <c r="E1039" s="16" t="s">
        <v>15</v>
      </c>
      <c r="F1039" s="15">
        <v>7</v>
      </c>
    </row>
  </sheetData>
  <autoFilter ref="K1:K951" xr:uid="{00000000-0001-0000-0000-000000000000}"/>
  <phoneticPr fontId="5" type="noConversion"/>
  <dataValidations count="1">
    <dataValidation type="list" allowBlank="1" showInputMessage="1" showErrorMessage="1" sqref="D2:D1048576" xr:uid="{7F755F4D-7DA7-45D1-A23E-EFAEF6005762}">
      <formula1>"footlift, step_L, step_R, nonstep"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/>
  </sheetPr>
  <dimension ref="A1:BI87"/>
  <sheetViews>
    <sheetView tabSelected="1" workbookViewId="0">
      <pane xSplit="1" topLeftCell="R1" activePane="topRight" state="frozen"/>
      <selection pane="topRight" activeCell="AK11" sqref="AK11"/>
    </sheetView>
  </sheetViews>
  <sheetFormatPr defaultColWidth="8.59765625" defaultRowHeight="17.399999999999999"/>
  <cols>
    <col min="1" max="1" width="13.59765625" style="50" bestFit="1" customWidth="1"/>
    <col min="2" max="11" width="13.59765625" style="50" customWidth="1"/>
    <col min="12" max="12" width="13.59765625" style="51" bestFit="1" customWidth="1"/>
    <col min="13" max="17" width="13.59765625" style="51" customWidth="1"/>
    <col min="18" max="18" width="13.59765625" style="51" bestFit="1" customWidth="1"/>
    <col min="19" max="55" width="13.59765625" style="50" bestFit="1" customWidth="1"/>
    <col min="56" max="56" width="13.69921875" style="50" customWidth="1"/>
    <col min="57" max="57" width="12.3984375" style="50" customWidth="1"/>
    <col min="58" max="58" width="11.09765625" style="50" customWidth="1"/>
    <col min="59" max="59" width="11.19921875" style="50" customWidth="1"/>
    <col min="60" max="16384" width="8.59765625" style="50"/>
  </cols>
  <sheetData>
    <row r="1" spans="1:61" s="79" customFormat="1" ht="18.75" customHeight="1">
      <c r="A1" s="78" t="s">
        <v>0</v>
      </c>
      <c r="B1" s="78" t="s">
        <v>17</v>
      </c>
      <c r="C1" s="78" t="s">
        <v>18</v>
      </c>
      <c r="D1" s="78" t="s">
        <v>20</v>
      </c>
      <c r="E1" s="78" t="s">
        <v>21</v>
      </c>
      <c r="F1" s="78" t="s">
        <v>19</v>
      </c>
      <c r="G1" s="78" t="s">
        <v>11</v>
      </c>
      <c r="H1" s="78" t="s">
        <v>22</v>
      </c>
      <c r="I1" s="78" t="s">
        <v>23</v>
      </c>
      <c r="J1" s="78" t="s">
        <v>24</v>
      </c>
      <c r="K1" s="78" t="s">
        <v>25</v>
      </c>
      <c r="L1" s="78" t="s">
        <v>26</v>
      </c>
      <c r="M1" s="78" t="s">
        <v>27</v>
      </c>
      <c r="N1" s="78" t="s">
        <v>28</v>
      </c>
      <c r="O1" s="78" t="s">
        <v>29</v>
      </c>
      <c r="P1" s="78" t="s">
        <v>74</v>
      </c>
      <c r="Q1" s="78" t="s">
        <v>75</v>
      </c>
      <c r="R1" s="78" t="s">
        <v>30</v>
      </c>
      <c r="S1" s="78" t="s">
        <v>33</v>
      </c>
      <c r="T1" s="78" t="s">
        <v>32</v>
      </c>
      <c r="U1" s="78" t="s">
        <v>31</v>
      </c>
      <c r="V1" s="78" t="s">
        <v>34</v>
      </c>
      <c r="W1" s="78" t="s">
        <v>35</v>
      </c>
      <c r="X1" s="78" t="s">
        <v>36</v>
      </c>
      <c r="Y1" s="78" t="s">
        <v>38</v>
      </c>
      <c r="Z1" s="78" t="s">
        <v>37</v>
      </c>
      <c r="AA1" s="78" t="s">
        <v>43</v>
      </c>
      <c r="AB1" s="78" t="s">
        <v>42</v>
      </c>
      <c r="AC1" s="78" t="s">
        <v>41</v>
      </c>
      <c r="AD1" s="78" t="s">
        <v>40</v>
      </c>
      <c r="AE1" s="78" t="s">
        <v>39</v>
      </c>
      <c r="AF1" s="78" t="s">
        <v>44</v>
      </c>
      <c r="AG1" s="78" t="s">
        <v>45</v>
      </c>
      <c r="AH1" s="78" t="s">
        <v>46</v>
      </c>
      <c r="AI1" s="78" t="s">
        <v>54</v>
      </c>
      <c r="AJ1" s="78" t="s">
        <v>53</v>
      </c>
      <c r="AK1" s="78" t="s">
        <v>52</v>
      </c>
      <c r="AL1" s="78" t="s">
        <v>51</v>
      </c>
      <c r="AM1" s="78" t="s">
        <v>50</v>
      </c>
      <c r="AN1" s="78" t="s">
        <v>49</v>
      </c>
      <c r="AO1" s="78" t="s">
        <v>48</v>
      </c>
      <c r="AP1" s="78" t="s">
        <v>47</v>
      </c>
      <c r="AQ1" s="78" t="s">
        <v>64</v>
      </c>
      <c r="AR1" s="78" t="s">
        <v>66</v>
      </c>
      <c r="AS1" s="78" t="s">
        <v>63</v>
      </c>
      <c r="AT1" s="78" t="s">
        <v>62</v>
      </c>
      <c r="AU1" s="78" t="s">
        <v>61</v>
      </c>
      <c r="AV1" s="78" t="s">
        <v>60</v>
      </c>
      <c r="AW1" s="78" t="s">
        <v>59</v>
      </c>
      <c r="AX1" s="78" t="s">
        <v>58</v>
      </c>
      <c r="AY1" s="78" t="s">
        <v>57</v>
      </c>
      <c r="AZ1" s="78" t="s">
        <v>56</v>
      </c>
      <c r="BA1" s="78" t="s">
        <v>55</v>
      </c>
      <c r="BB1" s="78" t="s">
        <v>67</v>
      </c>
      <c r="BC1" s="78" t="s">
        <v>68</v>
      </c>
      <c r="BD1" s="78" t="s">
        <v>69</v>
      </c>
      <c r="BE1" s="78" t="s">
        <v>70</v>
      </c>
      <c r="BF1" s="79" t="s">
        <v>71</v>
      </c>
      <c r="BG1" s="79" t="s">
        <v>72</v>
      </c>
      <c r="BH1" s="79" t="s">
        <v>73</v>
      </c>
      <c r="BI1" s="79" t="s">
        <v>76</v>
      </c>
    </row>
    <row r="2" spans="1:61" s="81" customFormat="1" ht="18.75" customHeight="1">
      <c r="A2" s="80" t="s">
        <v>77</v>
      </c>
      <c r="B2" s="80" t="s">
        <v>78</v>
      </c>
      <c r="C2" s="80" t="s">
        <v>78</v>
      </c>
      <c r="D2" s="80" t="s">
        <v>78</v>
      </c>
      <c r="E2" s="80" t="s">
        <v>78</v>
      </c>
      <c r="F2" s="80" t="s">
        <v>78</v>
      </c>
      <c r="G2" s="80" t="s">
        <v>79</v>
      </c>
      <c r="H2" s="80" t="s">
        <v>78</v>
      </c>
      <c r="I2" s="80" t="s">
        <v>78</v>
      </c>
      <c r="J2" s="80" t="s">
        <v>78</v>
      </c>
      <c r="K2" s="80" t="s">
        <v>79</v>
      </c>
      <c r="L2" s="84" t="s">
        <v>79</v>
      </c>
      <c r="M2" s="84" t="s">
        <v>78</v>
      </c>
      <c r="N2" s="84" t="s">
        <v>78</v>
      </c>
      <c r="O2" s="84" t="s">
        <v>79</v>
      </c>
      <c r="P2" s="84" t="s">
        <v>78</v>
      </c>
      <c r="Q2" s="84" t="s">
        <v>79</v>
      </c>
      <c r="R2" s="84" t="s">
        <v>79</v>
      </c>
      <c r="S2" s="80" t="s">
        <v>79</v>
      </c>
      <c r="T2" s="80" t="s">
        <v>78</v>
      </c>
      <c r="U2" s="80" t="s">
        <v>78</v>
      </c>
      <c r="V2" s="80" t="s">
        <v>78</v>
      </c>
      <c r="W2" s="80" t="s">
        <v>78</v>
      </c>
      <c r="X2" s="80" t="s">
        <v>78</v>
      </c>
      <c r="Y2" s="80" t="s">
        <v>79</v>
      </c>
      <c r="Z2" s="80" t="s">
        <v>79</v>
      </c>
      <c r="AA2" s="80" t="s">
        <v>79</v>
      </c>
      <c r="AB2" s="80" t="s">
        <v>79</v>
      </c>
      <c r="AC2" s="80" t="s">
        <v>78</v>
      </c>
      <c r="AD2" s="80" t="s">
        <v>78</v>
      </c>
      <c r="AE2" s="80" t="s">
        <v>78</v>
      </c>
      <c r="AF2" s="80" t="s">
        <v>78</v>
      </c>
      <c r="AG2" s="80" t="s">
        <v>78</v>
      </c>
      <c r="AH2" s="80" t="s">
        <v>78</v>
      </c>
      <c r="AI2" s="80" t="s">
        <v>79</v>
      </c>
      <c r="AJ2" s="80" t="s">
        <v>78</v>
      </c>
      <c r="AK2" s="80" t="s">
        <v>79</v>
      </c>
      <c r="AL2" s="80" t="s">
        <v>78</v>
      </c>
      <c r="AM2" s="80" t="s">
        <v>78</v>
      </c>
      <c r="AN2" s="80" t="s">
        <v>79</v>
      </c>
      <c r="AO2" s="80" t="s">
        <v>79</v>
      </c>
      <c r="AP2" s="80" t="s">
        <v>79</v>
      </c>
      <c r="AQ2" s="80" t="s">
        <v>78</v>
      </c>
      <c r="AR2" s="80" t="s">
        <v>79</v>
      </c>
      <c r="AS2" s="80" t="s">
        <v>78</v>
      </c>
      <c r="AT2" s="80" t="s">
        <v>79</v>
      </c>
      <c r="AU2" s="80" t="s">
        <v>78</v>
      </c>
      <c r="AV2" s="80" t="s">
        <v>79</v>
      </c>
      <c r="AW2" s="80" t="s">
        <v>79</v>
      </c>
      <c r="AX2" s="80" t="s">
        <v>79</v>
      </c>
      <c r="AY2" s="80" t="s">
        <v>78</v>
      </c>
      <c r="AZ2" s="80" t="s">
        <v>78</v>
      </c>
      <c r="BA2" s="80" t="s">
        <v>79</v>
      </c>
      <c r="BB2" s="80" t="s">
        <v>78</v>
      </c>
      <c r="BC2" s="80" t="s">
        <v>79</v>
      </c>
      <c r="BD2" s="81" t="s">
        <v>78</v>
      </c>
      <c r="BE2" s="81" t="s">
        <v>78</v>
      </c>
      <c r="BF2" s="81" t="s">
        <v>78</v>
      </c>
      <c r="BG2" s="81" t="s">
        <v>78</v>
      </c>
      <c r="BH2" s="81" t="s">
        <v>78</v>
      </c>
      <c r="BI2" s="81" t="s">
        <v>78</v>
      </c>
    </row>
    <row r="3" spans="1:61" s="81" customFormat="1" ht="18.75" customHeight="1">
      <c r="A3" s="80" t="s">
        <v>80</v>
      </c>
      <c r="B3" s="80">
        <v>72</v>
      </c>
      <c r="C3" s="80">
        <v>60</v>
      </c>
      <c r="D3" s="80">
        <v>67</v>
      </c>
      <c r="E3" s="80">
        <v>73</v>
      </c>
      <c r="F3" s="80">
        <v>78</v>
      </c>
      <c r="G3" s="80">
        <v>80</v>
      </c>
      <c r="H3" s="80">
        <v>73</v>
      </c>
      <c r="I3" s="80">
        <v>75</v>
      </c>
      <c r="J3" s="80">
        <v>64</v>
      </c>
      <c r="K3" s="80">
        <v>65</v>
      </c>
      <c r="L3" s="84">
        <v>27</v>
      </c>
      <c r="M3" s="84">
        <v>74</v>
      </c>
      <c r="N3" s="84">
        <v>72</v>
      </c>
      <c r="O3" s="84">
        <v>74</v>
      </c>
      <c r="P3" s="84">
        <v>72</v>
      </c>
      <c r="Q3" s="84">
        <v>80</v>
      </c>
      <c r="R3" s="84">
        <v>27</v>
      </c>
      <c r="S3" s="80">
        <v>82</v>
      </c>
      <c r="T3" s="80">
        <v>80</v>
      </c>
      <c r="U3" s="80">
        <v>71</v>
      </c>
      <c r="V3" s="80">
        <v>77</v>
      </c>
      <c r="W3" s="80">
        <v>78</v>
      </c>
      <c r="X3" s="80">
        <v>68</v>
      </c>
      <c r="Y3" s="80">
        <v>19</v>
      </c>
      <c r="Z3" s="80">
        <v>24</v>
      </c>
      <c r="AA3" s="80">
        <v>24</v>
      </c>
      <c r="AB3" s="80">
        <v>23</v>
      </c>
      <c r="AC3" s="80">
        <v>18</v>
      </c>
      <c r="AD3" s="80">
        <v>20</v>
      </c>
      <c r="AE3" s="80">
        <v>24</v>
      </c>
      <c r="AF3" s="80">
        <v>18</v>
      </c>
      <c r="AG3" s="80">
        <v>22</v>
      </c>
      <c r="AH3" s="80">
        <v>19</v>
      </c>
      <c r="AI3" s="80">
        <v>22</v>
      </c>
      <c r="AJ3" s="80">
        <v>19</v>
      </c>
      <c r="AK3" s="80">
        <v>24</v>
      </c>
      <c r="AL3" s="80">
        <v>19</v>
      </c>
      <c r="AM3" s="80">
        <v>20</v>
      </c>
      <c r="AN3" s="80">
        <v>18</v>
      </c>
      <c r="AO3" s="80">
        <v>23</v>
      </c>
      <c r="AP3" s="80">
        <v>23</v>
      </c>
      <c r="AQ3" s="80">
        <v>19</v>
      </c>
      <c r="AR3" s="80">
        <v>23</v>
      </c>
      <c r="AS3" s="80">
        <v>21</v>
      </c>
      <c r="AT3" s="80">
        <v>23</v>
      </c>
      <c r="AU3" s="80">
        <v>19</v>
      </c>
      <c r="AV3" s="80">
        <v>23</v>
      </c>
      <c r="AW3" s="80">
        <v>23</v>
      </c>
      <c r="AX3" s="80">
        <v>23</v>
      </c>
      <c r="AY3" s="80">
        <v>20</v>
      </c>
      <c r="AZ3" s="80">
        <v>19</v>
      </c>
      <c r="BA3" s="80">
        <v>24</v>
      </c>
      <c r="BB3" s="80">
        <v>20</v>
      </c>
      <c r="BC3" s="80">
        <v>25</v>
      </c>
      <c r="BD3" s="81">
        <v>80</v>
      </c>
      <c r="BE3" s="81">
        <v>79</v>
      </c>
      <c r="BF3" s="81">
        <v>78</v>
      </c>
      <c r="BG3" s="81">
        <v>79</v>
      </c>
      <c r="BH3" s="81">
        <v>83</v>
      </c>
      <c r="BI3" s="81">
        <v>72</v>
      </c>
    </row>
    <row r="4" spans="1:61" s="81" customFormat="1" ht="18.75" customHeight="1">
      <c r="A4" s="80" t="s">
        <v>81</v>
      </c>
      <c r="B4" s="80">
        <v>168.8</v>
      </c>
      <c r="C4" s="80">
        <v>152</v>
      </c>
      <c r="D4" s="80">
        <v>158.5</v>
      </c>
      <c r="E4" s="80">
        <v>165</v>
      </c>
      <c r="F4" s="80">
        <v>148</v>
      </c>
      <c r="G4" s="80">
        <v>158</v>
      </c>
      <c r="H4" s="80">
        <v>155</v>
      </c>
      <c r="I4" s="80">
        <v>151</v>
      </c>
      <c r="J4" s="80">
        <v>151</v>
      </c>
      <c r="K4" s="80">
        <v>174</v>
      </c>
      <c r="L4" s="84">
        <v>177</v>
      </c>
      <c r="M4" s="84">
        <v>149</v>
      </c>
      <c r="N4" s="84">
        <v>158</v>
      </c>
      <c r="O4" s="84">
        <v>165</v>
      </c>
      <c r="P4" s="84">
        <v>148</v>
      </c>
      <c r="Q4" s="84">
        <v>153</v>
      </c>
      <c r="R4" s="84">
        <v>168</v>
      </c>
      <c r="S4" s="80">
        <v>168</v>
      </c>
      <c r="T4" s="80">
        <v>153</v>
      </c>
      <c r="U4" s="80">
        <v>149</v>
      </c>
      <c r="V4" s="80">
        <v>158</v>
      </c>
      <c r="W4" s="80">
        <v>156</v>
      </c>
      <c r="X4" s="80">
        <v>157</v>
      </c>
      <c r="Y4" s="80">
        <v>175</v>
      </c>
      <c r="Z4" s="80">
        <v>174</v>
      </c>
      <c r="AA4" s="80">
        <v>174</v>
      </c>
      <c r="AB4" s="80">
        <v>170</v>
      </c>
      <c r="AC4" s="80">
        <v>160</v>
      </c>
      <c r="AD4" s="80">
        <v>173</v>
      </c>
      <c r="AE4" s="80">
        <v>159</v>
      </c>
      <c r="AF4" s="80">
        <v>159</v>
      </c>
      <c r="AG4" s="80">
        <v>160</v>
      </c>
      <c r="AH4" s="80">
        <v>160</v>
      </c>
      <c r="AI4" s="80">
        <v>179</v>
      </c>
      <c r="AJ4" s="80">
        <v>171</v>
      </c>
      <c r="AK4" s="80">
        <v>183</v>
      </c>
      <c r="AL4" s="80">
        <v>153</v>
      </c>
      <c r="AM4" s="80">
        <v>160</v>
      </c>
      <c r="AN4" s="80">
        <v>170.8</v>
      </c>
      <c r="AO4" s="80">
        <v>177</v>
      </c>
      <c r="AP4" s="80">
        <v>172</v>
      </c>
      <c r="AQ4" s="80">
        <v>159</v>
      </c>
      <c r="AR4" s="80">
        <v>179</v>
      </c>
      <c r="AS4" s="80">
        <v>162</v>
      </c>
      <c r="AT4" s="80">
        <v>170</v>
      </c>
      <c r="AU4" s="80">
        <v>161</v>
      </c>
      <c r="AV4" s="80">
        <v>169</v>
      </c>
      <c r="AW4" s="80">
        <v>165</v>
      </c>
      <c r="AX4" s="80">
        <v>177</v>
      </c>
      <c r="AY4" s="80">
        <v>164.6</v>
      </c>
      <c r="AZ4" s="80">
        <v>162</v>
      </c>
      <c r="BA4" s="80">
        <v>171</v>
      </c>
      <c r="BB4" s="80">
        <v>166</v>
      </c>
      <c r="BC4" s="80">
        <v>183</v>
      </c>
      <c r="BD4" s="81">
        <v>148</v>
      </c>
      <c r="BE4" s="81">
        <v>157</v>
      </c>
      <c r="BF4" s="81">
        <v>155</v>
      </c>
      <c r="BG4" s="81">
        <v>156</v>
      </c>
      <c r="BH4" s="81">
        <v>161</v>
      </c>
      <c r="BI4" s="81">
        <v>158</v>
      </c>
    </row>
    <row r="5" spans="1:61" s="81" customFormat="1" ht="18.75" customHeight="1">
      <c r="A5" s="80" t="s">
        <v>82</v>
      </c>
      <c r="B5" s="80">
        <v>54.4</v>
      </c>
      <c r="C5" s="80">
        <v>63</v>
      </c>
      <c r="D5" s="80">
        <v>49</v>
      </c>
      <c r="E5" s="80">
        <v>60</v>
      </c>
      <c r="F5" s="80">
        <v>46</v>
      </c>
      <c r="G5" s="80">
        <v>54</v>
      </c>
      <c r="H5" s="80">
        <v>59</v>
      </c>
      <c r="I5" s="80">
        <v>40</v>
      </c>
      <c r="J5" s="80">
        <v>76</v>
      </c>
      <c r="K5" s="80">
        <v>65</v>
      </c>
      <c r="L5" s="84">
        <v>70</v>
      </c>
      <c r="M5" s="84">
        <v>53</v>
      </c>
      <c r="N5" s="84">
        <v>70</v>
      </c>
      <c r="O5" s="84">
        <v>67</v>
      </c>
      <c r="P5" s="84">
        <v>55</v>
      </c>
      <c r="Q5" s="84">
        <v>60</v>
      </c>
      <c r="R5" s="84">
        <v>70</v>
      </c>
      <c r="S5" s="80">
        <v>67</v>
      </c>
      <c r="T5" s="80">
        <v>56</v>
      </c>
      <c r="U5" s="80">
        <v>62</v>
      </c>
      <c r="V5" s="80">
        <v>73</v>
      </c>
      <c r="W5" s="80">
        <v>65</v>
      </c>
      <c r="X5" s="80">
        <v>45</v>
      </c>
      <c r="Y5" s="80">
        <v>77</v>
      </c>
      <c r="Z5" s="80">
        <v>81</v>
      </c>
      <c r="AA5" s="80">
        <v>85</v>
      </c>
      <c r="AB5" s="80">
        <v>66</v>
      </c>
      <c r="AC5" s="80">
        <v>53</v>
      </c>
      <c r="AD5" s="80">
        <v>55</v>
      </c>
      <c r="AE5" s="80">
        <v>54</v>
      </c>
      <c r="AF5" s="80">
        <v>55</v>
      </c>
      <c r="AG5" s="80">
        <v>68</v>
      </c>
      <c r="AH5" s="80">
        <v>52</v>
      </c>
      <c r="AI5" s="80">
        <v>63</v>
      </c>
      <c r="AJ5" s="80">
        <v>61</v>
      </c>
      <c r="AK5" s="80">
        <v>99</v>
      </c>
      <c r="AL5" s="80">
        <v>49</v>
      </c>
      <c r="AM5" s="80">
        <v>52</v>
      </c>
      <c r="AN5" s="80">
        <v>68</v>
      </c>
      <c r="AO5" s="80">
        <v>70</v>
      </c>
      <c r="AP5" s="80">
        <v>63</v>
      </c>
      <c r="AQ5" s="80">
        <v>58</v>
      </c>
      <c r="AR5" s="80">
        <v>69</v>
      </c>
      <c r="AS5" s="80">
        <v>63</v>
      </c>
      <c r="AT5" s="80">
        <v>80</v>
      </c>
      <c r="AU5" s="80">
        <v>57</v>
      </c>
      <c r="AV5" s="80">
        <v>71</v>
      </c>
      <c r="AW5" s="80">
        <v>68</v>
      </c>
      <c r="AX5" s="80">
        <v>80</v>
      </c>
      <c r="AY5" s="80">
        <v>62</v>
      </c>
      <c r="AZ5" s="80">
        <v>59</v>
      </c>
      <c r="BA5" s="80">
        <v>81</v>
      </c>
      <c r="BB5" s="80">
        <v>54</v>
      </c>
      <c r="BC5" s="80">
        <v>112</v>
      </c>
      <c r="BD5" s="81">
        <v>44</v>
      </c>
      <c r="BE5" s="81">
        <v>50</v>
      </c>
      <c r="BF5" s="81">
        <v>45.2</v>
      </c>
      <c r="BG5" s="81">
        <v>48.7</v>
      </c>
      <c r="BH5" s="81">
        <v>66</v>
      </c>
      <c r="BI5" s="81">
        <v>57</v>
      </c>
    </row>
    <row r="6" spans="1:61" s="81" customFormat="1" ht="18.75" customHeight="1">
      <c r="A6" s="80" t="s">
        <v>83</v>
      </c>
      <c r="B6" s="80" t="s">
        <v>84</v>
      </c>
      <c r="C6" s="80" t="s">
        <v>85</v>
      </c>
      <c r="D6" s="80" t="s">
        <v>85</v>
      </c>
      <c r="E6" s="80" t="s">
        <v>85</v>
      </c>
      <c r="F6" s="80" t="s">
        <v>85</v>
      </c>
      <c r="G6" s="80" t="s">
        <v>85</v>
      </c>
      <c r="H6" s="80" t="s">
        <v>85</v>
      </c>
      <c r="I6" s="80" t="s">
        <v>85</v>
      </c>
      <c r="J6" s="80" t="s">
        <v>85</v>
      </c>
      <c r="K6" s="80" t="s">
        <v>85</v>
      </c>
      <c r="L6" s="84" t="s">
        <v>85</v>
      </c>
      <c r="M6" s="84" t="s">
        <v>85</v>
      </c>
      <c r="N6" s="84" t="s">
        <v>85</v>
      </c>
      <c r="O6" s="84" t="s">
        <v>84</v>
      </c>
      <c r="P6" s="84" t="s">
        <v>85</v>
      </c>
      <c r="Q6" s="84" t="s">
        <v>85</v>
      </c>
      <c r="R6" s="84" t="s">
        <v>85</v>
      </c>
      <c r="S6" s="80" t="s">
        <v>84</v>
      </c>
      <c r="T6" s="80" t="s">
        <v>85</v>
      </c>
      <c r="U6" s="80" t="s">
        <v>84</v>
      </c>
      <c r="V6" s="80" t="s">
        <v>85</v>
      </c>
      <c r="W6" s="80" t="s">
        <v>85</v>
      </c>
      <c r="X6" s="80" t="s">
        <v>85</v>
      </c>
      <c r="Y6" s="80"/>
      <c r="Z6" s="80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0"/>
      <c r="BC6" s="80"/>
      <c r="BD6" s="81" t="s">
        <v>84</v>
      </c>
      <c r="BE6" s="81" t="s">
        <v>84</v>
      </c>
      <c r="BF6" s="81" t="s">
        <v>85</v>
      </c>
      <c r="BG6" s="81" t="s">
        <v>85</v>
      </c>
      <c r="BH6" s="81" t="s">
        <v>85</v>
      </c>
      <c r="BI6" s="81" t="s">
        <v>85</v>
      </c>
    </row>
    <row r="7" spans="1:61" s="81" customFormat="1" ht="18.75" customHeight="1">
      <c r="A7" s="80" t="s">
        <v>86</v>
      </c>
      <c r="B7" s="80" t="s">
        <v>87</v>
      </c>
      <c r="C7" s="80" t="s">
        <v>87</v>
      </c>
      <c r="D7" s="80" t="s">
        <v>87</v>
      </c>
      <c r="E7" s="80" t="s">
        <v>87</v>
      </c>
      <c r="F7" s="80" t="s">
        <v>87</v>
      </c>
      <c r="G7" s="80" t="s">
        <v>87</v>
      </c>
      <c r="H7" s="80" t="s">
        <v>87</v>
      </c>
      <c r="I7" s="80" t="s">
        <v>87</v>
      </c>
      <c r="J7" s="80" t="s">
        <v>87</v>
      </c>
      <c r="K7" s="80" t="s">
        <v>88</v>
      </c>
      <c r="L7" s="84" t="s">
        <v>87</v>
      </c>
      <c r="M7" s="84" t="s">
        <v>87</v>
      </c>
      <c r="N7" s="84" t="s">
        <v>87</v>
      </c>
      <c r="O7" s="84" t="s">
        <v>87</v>
      </c>
      <c r="P7" s="84" t="s">
        <v>87</v>
      </c>
      <c r="Q7" s="84" t="s">
        <v>87</v>
      </c>
      <c r="R7" s="84" t="s">
        <v>87</v>
      </c>
      <c r="S7" s="80" t="s">
        <v>87</v>
      </c>
      <c r="T7" s="80" t="s">
        <v>87</v>
      </c>
      <c r="U7" s="80" t="s">
        <v>87</v>
      </c>
      <c r="V7" s="80" t="s">
        <v>87</v>
      </c>
      <c r="W7" s="80" t="s">
        <v>87</v>
      </c>
      <c r="X7" s="80" t="s">
        <v>87</v>
      </c>
      <c r="Y7" s="80" t="s">
        <v>87</v>
      </c>
      <c r="Z7" s="80" t="s">
        <v>87</v>
      </c>
      <c r="AA7" s="80" t="s">
        <v>87</v>
      </c>
      <c r="AB7" s="80" t="s">
        <v>87</v>
      </c>
      <c r="AC7" s="80" t="s">
        <v>87</v>
      </c>
      <c r="AD7" s="80" t="s">
        <v>87</v>
      </c>
      <c r="AE7" s="80" t="s">
        <v>88</v>
      </c>
      <c r="AF7" s="80" t="s">
        <v>87</v>
      </c>
      <c r="AG7" s="80" t="s">
        <v>87</v>
      </c>
      <c r="AH7" s="80" t="s">
        <v>87</v>
      </c>
      <c r="AI7" s="80" t="s">
        <v>88</v>
      </c>
      <c r="AJ7" s="80" t="s">
        <v>87</v>
      </c>
      <c r="AK7" s="80" t="s">
        <v>88</v>
      </c>
      <c r="AL7" s="80" t="s">
        <v>87</v>
      </c>
      <c r="AM7" s="80" t="s">
        <v>87</v>
      </c>
      <c r="AN7" s="80" t="s">
        <v>87</v>
      </c>
      <c r="AO7" s="80" t="s">
        <v>87</v>
      </c>
      <c r="AP7" s="80" t="s">
        <v>87</v>
      </c>
      <c r="AQ7" s="80" t="s">
        <v>87</v>
      </c>
      <c r="AR7" s="80" t="s">
        <v>88</v>
      </c>
      <c r="AS7" s="80" t="s">
        <v>88</v>
      </c>
      <c r="AT7" s="80" t="s">
        <v>87</v>
      </c>
      <c r="AU7" s="80" t="s">
        <v>87</v>
      </c>
      <c r="AV7" s="80" t="s">
        <v>87</v>
      </c>
      <c r="AW7" s="80" t="s">
        <v>87</v>
      </c>
      <c r="AX7" s="80" t="s">
        <v>87</v>
      </c>
      <c r="AY7" s="80" t="s">
        <v>87</v>
      </c>
      <c r="AZ7" s="80" t="s">
        <v>87</v>
      </c>
      <c r="BA7" s="80" t="s">
        <v>87</v>
      </c>
      <c r="BB7" s="80" t="s">
        <v>87</v>
      </c>
      <c r="BC7" s="80" t="s">
        <v>87</v>
      </c>
      <c r="BD7" s="81" t="s">
        <v>87</v>
      </c>
      <c r="BE7" s="81" t="s">
        <v>87</v>
      </c>
      <c r="BF7" s="81" t="s">
        <v>87</v>
      </c>
      <c r="BG7" s="81" t="s">
        <v>87</v>
      </c>
      <c r="BH7" s="81" t="s">
        <v>87</v>
      </c>
      <c r="BI7" s="81" t="s">
        <v>87</v>
      </c>
    </row>
    <row r="8" spans="1:61" s="81" customFormat="1" ht="18.75" customHeight="1">
      <c r="A8" s="80" t="s">
        <v>89</v>
      </c>
      <c r="B8" s="80">
        <v>100</v>
      </c>
      <c r="C8" s="80">
        <v>70</v>
      </c>
      <c r="D8" s="80">
        <v>87</v>
      </c>
      <c r="E8" s="80">
        <v>85</v>
      </c>
      <c r="F8" s="80">
        <v>74</v>
      </c>
      <c r="G8" s="80">
        <v>83</v>
      </c>
      <c r="H8" s="80">
        <v>82</v>
      </c>
      <c r="I8" s="80">
        <v>80</v>
      </c>
      <c r="J8" s="80">
        <v>76</v>
      </c>
      <c r="K8" s="80">
        <v>94</v>
      </c>
      <c r="L8" s="84">
        <v>86</v>
      </c>
      <c r="M8" s="84">
        <v>67</v>
      </c>
      <c r="N8" s="84">
        <v>80</v>
      </c>
      <c r="O8" s="84">
        <v>80</v>
      </c>
      <c r="P8" s="84">
        <v>75</v>
      </c>
      <c r="Q8" s="84">
        <v>80</v>
      </c>
      <c r="R8" s="84">
        <v>81</v>
      </c>
      <c r="S8" s="80">
        <v>89</v>
      </c>
      <c r="T8" s="80">
        <v>74</v>
      </c>
      <c r="U8" s="80">
        <v>76</v>
      </c>
      <c r="V8" s="80">
        <v>74</v>
      </c>
      <c r="W8" s="80">
        <v>75</v>
      </c>
      <c r="X8" s="80">
        <v>80</v>
      </c>
      <c r="Y8" s="80">
        <v>88</v>
      </c>
      <c r="Z8" s="80">
        <v>91</v>
      </c>
      <c r="AA8" s="80">
        <v>87</v>
      </c>
      <c r="AB8" s="80">
        <v>86.5</v>
      </c>
      <c r="AC8" s="80">
        <v>86</v>
      </c>
      <c r="AD8" s="80">
        <v>93</v>
      </c>
      <c r="AE8" s="80">
        <v>85</v>
      </c>
      <c r="AF8" s="80">
        <v>83</v>
      </c>
      <c r="AG8" s="80">
        <v>78</v>
      </c>
      <c r="AH8" s="80">
        <v>83</v>
      </c>
      <c r="AI8" s="80">
        <v>95</v>
      </c>
      <c r="AJ8" s="80">
        <v>86</v>
      </c>
      <c r="AK8" s="80">
        <v>95</v>
      </c>
      <c r="AL8" s="80">
        <v>76</v>
      </c>
      <c r="AM8" s="80">
        <v>86</v>
      </c>
      <c r="AN8" s="80">
        <v>87</v>
      </c>
      <c r="AO8" s="80">
        <v>92</v>
      </c>
      <c r="AP8" s="80">
        <v>87</v>
      </c>
      <c r="AQ8" s="80">
        <v>84</v>
      </c>
      <c r="AR8" s="80">
        <v>92</v>
      </c>
      <c r="AS8" s="80">
        <v>84</v>
      </c>
      <c r="AT8" s="80">
        <v>85</v>
      </c>
      <c r="AU8" s="80">
        <v>84</v>
      </c>
      <c r="AV8" s="80">
        <v>85</v>
      </c>
      <c r="AW8" s="80">
        <v>78</v>
      </c>
      <c r="AX8" s="80">
        <v>93</v>
      </c>
      <c r="AY8" s="80">
        <v>86</v>
      </c>
      <c r="AZ8" s="80">
        <v>92</v>
      </c>
      <c r="BA8" s="80">
        <v>89</v>
      </c>
      <c r="BB8" s="80">
        <v>83</v>
      </c>
      <c r="BC8" s="80">
        <v>99</v>
      </c>
      <c r="BD8" s="81">
        <v>72</v>
      </c>
      <c r="BE8" s="81">
        <v>82</v>
      </c>
      <c r="BF8" s="81">
        <v>84</v>
      </c>
      <c r="BG8" s="81">
        <v>74</v>
      </c>
      <c r="BH8" s="81">
        <v>73</v>
      </c>
      <c r="BI8" s="81">
        <v>78</v>
      </c>
    </row>
    <row r="9" spans="1:61" s="81" customFormat="1" ht="18.75" customHeight="1">
      <c r="A9" s="80" t="s">
        <v>90</v>
      </c>
      <c r="B9" s="80"/>
      <c r="C9" s="80"/>
      <c r="D9" s="80"/>
      <c r="E9" s="80">
        <v>35</v>
      </c>
      <c r="F9" s="80"/>
      <c r="G9" s="80"/>
      <c r="H9" s="80">
        <v>15</v>
      </c>
      <c r="I9" s="80">
        <v>15</v>
      </c>
      <c r="J9" s="80">
        <v>16</v>
      </c>
      <c r="K9" s="80">
        <v>19</v>
      </c>
      <c r="L9" s="84">
        <v>38</v>
      </c>
      <c r="M9" s="84">
        <v>30</v>
      </c>
      <c r="N9" s="84">
        <v>23</v>
      </c>
      <c r="O9" s="84">
        <v>34.5</v>
      </c>
      <c r="P9" s="84">
        <v>34</v>
      </c>
      <c r="Q9" s="84">
        <v>33</v>
      </c>
      <c r="R9" s="84">
        <v>41</v>
      </c>
      <c r="S9" s="80">
        <v>27</v>
      </c>
      <c r="T9" s="80">
        <v>34</v>
      </c>
      <c r="U9" s="80">
        <v>37</v>
      </c>
      <c r="V9" s="80">
        <v>37</v>
      </c>
      <c r="W9" s="80">
        <v>38</v>
      </c>
      <c r="X9" s="80">
        <v>27</v>
      </c>
      <c r="Y9" s="80">
        <v>51</v>
      </c>
      <c r="Z9" s="80">
        <v>48</v>
      </c>
      <c r="AA9" s="80">
        <v>45</v>
      </c>
      <c r="AB9" s="80">
        <v>37</v>
      </c>
      <c r="AC9" s="80">
        <v>39</v>
      </c>
      <c r="AD9" s="80">
        <v>31</v>
      </c>
      <c r="AE9" s="80">
        <v>44</v>
      </c>
      <c r="AF9" s="80">
        <v>44</v>
      </c>
      <c r="AG9" s="80">
        <v>43</v>
      </c>
      <c r="AH9" s="80">
        <v>43</v>
      </c>
      <c r="AI9" s="80">
        <v>34</v>
      </c>
      <c r="AJ9" s="80">
        <v>38</v>
      </c>
      <c r="AK9" s="80">
        <v>62</v>
      </c>
      <c r="AL9" s="80">
        <v>43</v>
      </c>
      <c r="AM9" s="80">
        <v>42</v>
      </c>
      <c r="AN9" s="80">
        <v>47</v>
      </c>
      <c r="AO9" s="80">
        <v>47</v>
      </c>
      <c r="AP9" s="80">
        <v>38</v>
      </c>
      <c r="AQ9" s="80">
        <v>30</v>
      </c>
      <c r="AR9" s="80">
        <v>49</v>
      </c>
      <c r="AS9" s="80">
        <v>42</v>
      </c>
      <c r="AT9" s="80">
        <v>50</v>
      </c>
      <c r="AU9" s="80">
        <v>41</v>
      </c>
      <c r="AV9" s="80">
        <v>50</v>
      </c>
      <c r="AW9" s="80">
        <v>47</v>
      </c>
      <c r="AX9" s="80">
        <v>40</v>
      </c>
      <c r="AY9" s="80">
        <v>37</v>
      </c>
      <c r="AZ9" s="80">
        <v>39</v>
      </c>
      <c r="BA9" s="80">
        <v>48</v>
      </c>
      <c r="BB9" s="80">
        <v>41</v>
      </c>
      <c r="BC9" s="80">
        <v>53</v>
      </c>
      <c r="BD9" s="81">
        <v>43</v>
      </c>
      <c r="BE9" s="81">
        <v>38</v>
      </c>
      <c r="BF9" s="81">
        <v>37</v>
      </c>
      <c r="BG9" s="81">
        <v>40</v>
      </c>
      <c r="BH9" s="81">
        <v>42</v>
      </c>
      <c r="BI9" s="81">
        <v>41</v>
      </c>
    </row>
    <row r="10" spans="1:61" s="81" customFormat="1" ht="18.75" customHeight="1">
      <c r="A10" s="80" t="s">
        <v>91</v>
      </c>
      <c r="B10" s="80"/>
      <c r="C10" s="80"/>
      <c r="D10" s="80"/>
      <c r="E10" s="80">
        <v>32</v>
      </c>
      <c r="F10" s="80"/>
      <c r="G10" s="80"/>
      <c r="H10" s="80">
        <v>15</v>
      </c>
      <c r="I10" s="80">
        <v>15</v>
      </c>
      <c r="J10" s="80">
        <v>16</v>
      </c>
      <c r="K10" s="80">
        <v>19</v>
      </c>
      <c r="L10" s="84">
        <v>38</v>
      </c>
      <c r="M10" s="84">
        <v>30</v>
      </c>
      <c r="N10" s="84">
        <v>23</v>
      </c>
      <c r="O10" s="84">
        <v>33.5</v>
      </c>
      <c r="P10" s="84">
        <v>34</v>
      </c>
      <c r="Q10" s="84">
        <v>33</v>
      </c>
      <c r="R10" s="84">
        <v>41</v>
      </c>
      <c r="S10" s="80">
        <v>27</v>
      </c>
      <c r="T10" s="80">
        <v>33</v>
      </c>
      <c r="U10" s="80">
        <v>35</v>
      </c>
      <c r="V10" s="80">
        <v>38</v>
      </c>
      <c r="W10" s="80">
        <v>39</v>
      </c>
      <c r="X10" s="80">
        <v>27</v>
      </c>
      <c r="Y10" s="80">
        <v>51</v>
      </c>
      <c r="Z10" s="80">
        <v>48</v>
      </c>
      <c r="AA10" s="80">
        <v>45</v>
      </c>
      <c r="AB10" s="80">
        <v>37</v>
      </c>
      <c r="AC10" s="80">
        <v>39</v>
      </c>
      <c r="AD10" s="80">
        <v>31</v>
      </c>
      <c r="AE10" s="80">
        <v>44</v>
      </c>
      <c r="AF10" s="80">
        <v>44</v>
      </c>
      <c r="AG10" s="80">
        <v>43</v>
      </c>
      <c r="AH10" s="80">
        <v>43</v>
      </c>
      <c r="AI10" s="80">
        <v>34</v>
      </c>
      <c r="AJ10" s="80">
        <v>38</v>
      </c>
      <c r="AK10" s="80">
        <v>62</v>
      </c>
      <c r="AL10" s="80">
        <v>43</v>
      </c>
      <c r="AM10" s="80">
        <v>42</v>
      </c>
      <c r="AN10" s="80">
        <v>47</v>
      </c>
      <c r="AO10" s="80">
        <v>47</v>
      </c>
      <c r="AP10" s="80">
        <v>38</v>
      </c>
      <c r="AQ10" s="80">
        <v>30</v>
      </c>
      <c r="AR10" s="80">
        <v>49</v>
      </c>
      <c r="AS10" s="80">
        <v>42</v>
      </c>
      <c r="AT10" s="80">
        <v>50</v>
      </c>
      <c r="AU10" s="80">
        <v>41</v>
      </c>
      <c r="AV10" s="80">
        <v>50</v>
      </c>
      <c r="AW10" s="80">
        <v>47</v>
      </c>
      <c r="AX10" s="80">
        <v>40</v>
      </c>
      <c r="AY10" s="80">
        <v>37</v>
      </c>
      <c r="AZ10" s="80">
        <v>39</v>
      </c>
      <c r="BA10" s="80">
        <v>48</v>
      </c>
      <c r="BB10" s="80">
        <v>41</v>
      </c>
      <c r="BC10" s="80">
        <v>53</v>
      </c>
      <c r="BD10" s="81">
        <v>43</v>
      </c>
      <c r="BE10" s="81">
        <v>38</v>
      </c>
      <c r="BF10" s="81">
        <v>37</v>
      </c>
      <c r="BG10" s="81">
        <v>40</v>
      </c>
      <c r="BH10" s="81">
        <v>42</v>
      </c>
      <c r="BI10" s="81">
        <v>41</v>
      </c>
    </row>
    <row r="11" spans="1:61" s="81" customFormat="1" ht="18.75" customHeight="1">
      <c r="A11" s="80" t="s">
        <v>92</v>
      </c>
      <c r="B11" s="80">
        <v>8</v>
      </c>
      <c r="C11" s="80">
        <v>7.5</v>
      </c>
      <c r="D11" s="80">
        <v>9</v>
      </c>
      <c r="E11" s="80">
        <v>9</v>
      </c>
      <c r="F11" s="80">
        <v>8</v>
      </c>
      <c r="G11" s="80">
        <v>8</v>
      </c>
      <c r="H11" s="80">
        <v>9.5</v>
      </c>
      <c r="I11" s="80">
        <v>8</v>
      </c>
      <c r="J11" s="80">
        <v>7.5</v>
      </c>
      <c r="K11" s="80">
        <v>9.5</v>
      </c>
      <c r="L11" s="84">
        <v>9</v>
      </c>
      <c r="M11" s="84">
        <v>10</v>
      </c>
      <c r="N11" s="84">
        <v>10.5</v>
      </c>
      <c r="O11" s="84">
        <v>9</v>
      </c>
      <c r="P11" s="84">
        <v>9</v>
      </c>
      <c r="Q11" s="84">
        <v>9</v>
      </c>
      <c r="R11" s="84">
        <v>8</v>
      </c>
      <c r="S11" s="80">
        <v>8.5</v>
      </c>
      <c r="T11" s="80">
        <v>8.5</v>
      </c>
      <c r="U11" s="80">
        <v>9</v>
      </c>
      <c r="V11" s="80">
        <v>10</v>
      </c>
      <c r="W11" s="80">
        <v>8</v>
      </c>
      <c r="X11" s="80">
        <v>9</v>
      </c>
      <c r="Y11" s="80">
        <v>9</v>
      </c>
      <c r="Z11" s="80">
        <v>10</v>
      </c>
      <c r="AA11" s="80">
        <v>9</v>
      </c>
      <c r="AB11" s="80">
        <v>7</v>
      </c>
      <c r="AC11" s="80">
        <v>8</v>
      </c>
      <c r="AD11" s="80">
        <v>8</v>
      </c>
      <c r="AE11" s="80">
        <v>8.5</v>
      </c>
      <c r="AF11" s="80">
        <v>7.5</v>
      </c>
      <c r="AG11" s="80">
        <v>8</v>
      </c>
      <c r="AH11" s="80">
        <v>8</v>
      </c>
      <c r="AI11" s="80">
        <v>8.5</v>
      </c>
      <c r="AJ11" s="80">
        <v>8.5</v>
      </c>
      <c r="AK11" s="80">
        <v>10.5</v>
      </c>
      <c r="AL11" s="80">
        <v>7</v>
      </c>
      <c r="AM11" s="80">
        <v>7.5</v>
      </c>
      <c r="AN11" s="80">
        <v>9</v>
      </c>
      <c r="AO11" s="80">
        <v>9.5</v>
      </c>
      <c r="AP11" s="80">
        <v>10</v>
      </c>
      <c r="AQ11" s="80">
        <v>9</v>
      </c>
      <c r="AR11" s="80">
        <v>9.5</v>
      </c>
      <c r="AS11" s="80">
        <v>9</v>
      </c>
      <c r="AT11" s="80">
        <v>10</v>
      </c>
      <c r="AU11" s="80">
        <v>9</v>
      </c>
      <c r="AV11" s="80">
        <v>9</v>
      </c>
      <c r="AW11" s="80">
        <v>9</v>
      </c>
      <c r="AX11" s="80">
        <v>10.5</v>
      </c>
      <c r="AY11" s="80">
        <v>7.4</v>
      </c>
      <c r="AZ11" s="80">
        <v>8</v>
      </c>
      <c r="BA11" s="80">
        <v>10</v>
      </c>
      <c r="BB11" s="80">
        <v>8</v>
      </c>
      <c r="BC11" s="80">
        <v>11</v>
      </c>
      <c r="BD11" s="81">
        <v>9</v>
      </c>
      <c r="BE11" s="81">
        <v>7.5</v>
      </c>
      <c r="BF11" s="81">
        <v>7.5</v>
      </c>
      <c r="BG11" s="81">
        <v>8</v>
      </c>
      <c r="BH11" s="81">
        <v>9</v>
      </c>
      <c r="BI11" s="81">
        <v>10</v>
      </c>
    </row>
    <row r="12" spans="1:61" s="81" customFormat="1" ht="18.75" customHeight="1">
      <c r="A12" s="80" t="s">
        <v>93</v>
      </c>
      <c r="B12" s="80">
        <v>8</v>
      </c>
      <c r="C12" s="80">
        <v>7.5</v>
      </c>
      <c r="D12" s="80">
        <v>8.5</v>
      </c>
      <c r="E12" s="80">
        <v>9</v>
      </c>
      <c r="F12" s="80">
        <v>9</v>
      </c>
      <c r="G12" s="80">
        <v>8</v>
      </c>
      <c r="H12" s="80">
        <v>9.5</v>
      </c>
      <c r="I12" s="80">
        <v>7.5</v>
      </c>
      <c r="J12" s="80">
        <v>7.5</v>
      </c>
      <c r="K12" s="80">
        <v>9</v>
      </c>
      <c r="L12" s="84">
        <v>9</v>
      </c>
      <c r="M12" s="84">
        <v>9.5</v>
      </c>
      <c r="N12" s="84">
        <v>11</v>
      </c>
      <c r="O12" s="84">
        <v>9</v>
      </c>
      <c r="P12" s="84">
        <v>9</v>
      </c>
      <c r="Q12" s="84">
        <v>9</v>
      </c>
      <c r="R12" s="84">
        <v>8</v>
      </c>
      <c r="S12" s="80">
        <v>8.5</v>
      </c>
      <c r="T12" s="80">
        <v>8.5</v>
      </c>
      <c r="U12" s="80">
        <v>9</v>
      </c>
      <c r="V12" s="80">
        <v>9.5</v>
      </c>
      <c r="W12" s="80">
        <v>8</v>
      </c>
      <c r="X12" s="80">
        <v>9</v>
      </c>
      <c r="Y12" s="80">
        <v>9</v>
      </c>
      <c r="Z12" s="80">
        <v>10</v>
      </c>
      <c r="AA12" s="80">
        <v>9</v>
      </c>
      <c r="AB12" s="80">
        <v>7</v>
      </c>
      <c r="AC12" s="80">
        <v>8</v>
      </c>
      <c r="AD12" s="80">
        <v>7.5</v>
      </c>
      <c r="AE12" s="80">
        <v>8</v>
      </c>
      <c r="AF12" s="80">
        <v>7.5</v>
      </c>
      <c r="AG12" s="80">
        <v>8</v>
      </c>
      <c r="AH12" s="80">
        <v>8</v>
      </c>
      <c r="AI12" s="80">
        <v>8.5</v>
      </c>
      <c r="AJ12" s="80">
        <v>8.5</v>
      </c>
      <c r="AK12" s="80">
        <v>10.5</v>
      </c>
      <c r="AL12" s="80">
        <v>7</v>
      </c>
      <c r="AM12" s="80">
        <v>7.5</v>
      </c>
      <c r="AN12" s="80">
        <v>9</v>
      </c>
      <c r="AO12" s="80">
        <v>9.5</v>
      </c>
      <c r="AP12" s="80">
        <v>11</v>
      </c>
      <c r="AQ12" s="80">
        <v>9</v>
      </c>
      <c r="AR12" s="80">
        <v>9.5</v>
      </c>
      <c r="AS12" s="80">
        <v>9</v>
      </c>
      <c r="AT12" s="80">
        <v>10</v>
      </c>
      <c r="AU12" s="80">
        <v>9</v>
      </c>
      <c r="AV12" s="80">
        <v>9</v>
      </c>
      <c r="AW12" s="80">
        <v>9</v>
      </c>
      <c r="AX12" s="80">
        <v>10.5</v>
      </c>
      <c r="AY12" s="80">
        <v>7.7</v>
      </c>
      <c r="AZ12" s="80">
        <v>8</v>
      </c>
      <c r="BA12" s="80">
        <v>10</v>
      </c>
      <c r="BB12" s="80">
        <v>8</v>
      </c>
      <c r="BC12" s="80">
        <v>11</v>
      </c>
      <c r="BD12" s="81">
        <v>9</v>
      </c>
      <c r="BE12" s="81">
        <v>7.5</v>
      </c>
      <c r="BF12" s="81">
        <v>7.5</v>
      </c>
      <c r="BG12" s="81">
        <v>8</v>
      </c>
      <c r="BH12" s="81">
        <v>9</v>
      </c>
      <c r="BI12" s="81">
        <v>10</v>
      </c>
    </row>
    <row r="13" spans="1:61" s="81" customFormat="1" ht="18.75" customHeight="1">
      <c r="A13" s="80" t="s">
        <v>94</v>
      </c>
      <c r="B13" s="80">
        <v>7.5</v>
      </c>
      <c r="C13" s="80">
        <v>6</v>
      </c>
      <c r="D13" s="80">
        <v>6</v>
      </c>
      <c r="E13" s="80">
        <v>6</v>
      </c>
      <c r="F13" s="80">
        <v>9.5</v>
      </c>
      <c r="G13" s="80">
        <v>7</v>
      </c>
      <c r="H13" s="80">
        <v>6</v>
      </c>
      <c r="I13" s="80">
        <v>5.5</v>
      </c>
      <c r="J13" s="80">
        <v>5</v>
      </c>
      <c r="K13" s="80">
        <v>6.5</v>
      </c>
      <c r="L13" s="84">
        <v>6</v>
      </c>
      <c r="M13" s="84">
        <v>7</v>
      </c>
      <c r="N13" s="84">
        <v>7.5</v>
      </c>
      <c r="O13" s="84">
        <v>6.5</v>
      </c>
      <c r="P13" s="84">
        <v>6</v>
      </c>
      <c r="Q13" s="84">
        <v>6.5</v>
      </c>
      <c r="R13" s="84">
        <v>5</v>
      </c>
      <c r="S13" s="80">
        <v>6</v>
      </c>
      <c r="T13" s="80">
        <v>6</v>
      </c>
      <c r="U13" s="80">
        <v>6</v>
      </c>
      <c r="V13" s="80">
        <v>6</v>
      </c>
      <c r="W13" s="80">
        <v>7</v>
      </c>
      <c r="X13" s="80">
        <v>6</v>
      </c>
      <c r="Y13" s="80">
        <v>6</v>
      </c>
      <c r="Z13" s="80">
        <v>6.5</v>
      </c>
      <c r="AA13" s="80">
        <v>6.5</v>
      </c>
      <c r="AB13" s="80">
        <v>5.5</v>
      </c>
      <c r="AC13" s="80">
        <v>5.5</v>
      </c>
      <c r="AD13" s="80">
        <v>5</v>
      </c>
      <c r="AE13" s="80">
        <v>6</v>
      </c>
      <c r="AF13" s="80">
        <v>5.5</v>
      </c>
      <c r="AG13" s="80">
        <v>6</v>
      </c>
      <c r="AH13" s="80">
        <v>5</v>
      </c>
      <c r="AI13" s="80">
        <v>5.4</v>
      </c>
      <c r="AJ13" s="80">
        <v>5.5</v>
      </c>
      <c r="AK13" s="80">
        <v>6.5</v>
      </c>
      <c r="AL13" s="80">
        <v>5</v>
      </c>
      <c r="AM13" s="80">
        <v>5</v>
      </c>
      <c r="AN13" s="80">
        <v>5.5</v>
      </c>
      <c r="AO13" s="80">
        <v>6</v>
      </c>
      <c r="AP13" s="80">
        <v>6</v>
      </c>
      <c r="AQ13" s="80">
        <v>6</v>
      </c>
      <c r="AR13" s="80">
        <v>6</v>
      </c>
      <c r="AS13" s="80">
        <v>5.5</v>
      </c>
      <c r="AT13" s="80">
        <v>6</v>
      </c>
      <c r="AU13" s="80">
        <v>6</v>
      </c>
      <c r="AV13" s="80">
        <v>6</v>
      </c>
      <c r="AW13" s="80">
        <v>6</v>
      </c>
      <c r="AX13" s="80">
        <v>6.5</v>
      </c>
      <c r="AY13" s="80">
        <v>5</v>
      </c>
      <c r="AZ13" s="80">
        <v>5</v>
      </c>
      <c r="BA13" s="80">
        <v>6.5</v>
      </c>
      <c r="BB13" s="80">
        <v>5.5</v>
      </c>
      <c r="BC13" s="80">
        <v>7</v>
      </c>
      <c r="BD13" s="81">
        <v>5.5</v>
      </c>
      <c r="BE13" s="81">
        <v>5.5</v>
      </c>
      <c r="BF13" s="81">
        <v>5.5</v>
      </c>
      <c r="BG13" s="81">
        <v>6</v>
      </c>
      <c r="BH13" s="81">
        <v>6</v>
      </c>
      <c r="BI13" s="81">
        <v>6</v>
      </c>
    </row>
    <row r="14" spans="1:61" s="81" customFormat="1" ht="18.75" customHeight="1">
      <c r="A14" s="80" t="s">
        <v>95</v>
      </c>
      <c r="B14" s="80">
        <v>7</v>
      </c>
      <c r="C14" s="80">
        <v>6</v>
      </c>
      <c r="D14" s="80">
        <v>6</v>
      </c>
      <c r="E14" s="80">
        <v>6</v>
      </c>
      <c r="F14" s="80">
        <v>9.5</v>
      </c>
      <c r="G14" s="80">
        <v>6.5</v>
      </c>
      <c r="H14" s="80">
        <v>6</v>
      </c>
      <c r="I14" s="80">
        <v>5.5</v>
      </c>
      <c r="J14" s="80">
        <v>5</v>
      </c>
      <c r="K14" s="80">
        <v>6.5</v>
      </c>
      <c r="L14" s="84">
        <v>6</v>
      </c>
      <c r="M14" s="84">
        <v>6</v>
      </c>
      <c r="N14" s="84">
        <v>7.5</v>
      </c>
      <c r="O14" s="84">
        <v>6.5</v>
      </c>
      <c r="P14" s="84">
        <v>6</v>
      </c>
      <c r="Q14" s="84">
        <v>6.5</v>
      </c>
      <c r="R14" s="84">
        <v>5</v>
      </c>
      <c r="S14" s="80">
        <v>6</v>
      </c>
      <c r="T14" s="80">
        <v>5.5</v>
      </c>
      <c r="U14" s="80">
        <v>6</v>
      </c>
      <c r="V14" s="80">
        <v>6</v>
      </c>
      <c r="W14" s="80">
        <v>7.5</v>
      </c>
      <c r="X14" s="80">
        <v>6</v>
      </c>
      <c r="Y14" s="80">
        <v>6</v>
      </c>
      <c r="Z14" s="80">
        <v>6.5</v>
      </c>
      <c r="AA14" s="80">
        <v>6.5</v>
      </c>
      <c r="AB14" s="80">
        <v>5.5</v>
      </c>
      <c r="AC14" s="80">
        <v>5.5</v>
      </c>
      <c r="AD14" s="80">
        <v>4.5</v>
      </c>
      <c r="AE14" s="80">
        <v>6</v>
      </c>
      <c r="AF14" s="80">
        <v>5.5</v>
      </c>
      <c r="AG14" s="80">
        <v>6</v>
      </c>
      <c r="AH14" s="80">
        <v>5</v>
      </c>
      <c r="AI14" s="80">
        <v>5.4</v>
      </c>
      <c r="AJ14" s="80">
        <v>5.5</v>
      </c>
      <c r="AK14" s="80">
        <v>6.5</v>
      </c>
      <c r="AL14" s="80">
        <v>5</v>
      </c>
      <c r="AM14" s="80">
        <v>5</v>
      </c>
      <c r="AN14" s="80">
        <v>5.5</v>
      </c>
      <c r="AO14" s="80">
        <v>6</v>
      </c>
      <c r="AP14" s="80">
        <v>6</v>
      </c>
      <c r="AQ14" s="80">
        <v>6</v>
      </c>
      <c r="AR14" s="80">
        <v>6</v>
      </c>
      <c r="AS14" s="80">
        <v>5.5</v>
      </c>
      <c r="AT14" s="80">
        <v>6</v>
      </c>
      <c r="AU14" s="80">
        <v>6</v>
      </c>
      <c r="AV14" s="80">
        <v>6</v>
      </c>
      <c r="AW14" s="80">
        <v>6</v>
      </c>
      <c r="AX14" s="80">
        <v>6.5</v>
      </c>
      <c r="AY14" s="80">
        <v>5.0999999999999996</v>
      </c>
      <c r="AZ14" s="80">
        <v>5</v>
      </c>
      <c r="BA14" s="80">
        <v>6.5</v>
      </c>
      <c r="BB14" s="80">
        <v>5.5</v>
      </c>
      <c r="BC14" s="80">
        <v>7</v>
      </c>
      <c r="BD14" s="81">
        <v>5.5</v>
      </c>
      <c r="BE14" s="81">
        <v>5.5</v>
      </c>
      <c r="BF14" s="81">
        <v>5.5</v>
      </c>
      <c r="BG14" s="81">
        <v>6</v>
      </c>
      <c r="BH14" s="81">
        <v>6</v>
      </c>
      <c r="BI14" s="81">
        <v>6</v>
      </c>
    </row>
    <row r="15" spans="1:61" s="81" customFormat="1" ht="18.75" customHeight="1">
      <c r="A15" s="80" t="s">
        <v>96</v>
      </c>
      <c r="B15" s="80">
        <v>9.5</v>
      </c>
      <c r="C15" s="80">
        <v>11</v>
      </c>
      <c r="D15" s="80">
        <v>12</v>
      </c>
      <c r="E15" s="80">
        <v>10</v>
      </c>
      <c r="F15" s="80">
        <v>12</v>
      </c>
      <c r="G15" s="80">
        <v>12</v>
      </c>
      <c r="H15" s="80">
        <v>9.5</v>
      </c>
      <c r="I15" s="80">
        <v>8.5</v>
      </c>
      <c r="J15" s="80">
        <v>10</v>
      </c>
      <c r="K15" s="80">
        <v>11</v>
      </c>
      <c r="L15" s="84">
        <v>12</v>
      </c>
      <c r="M15" s="84">
        <v>11</v>
      </c>
      <c r="N15" s="84">
        <v>13</v>
      </c>
      <c r="O15" s="84">
        <v>10.5</v>
      </c>
      <c r="P15" s="84">
        <v>11</v>
      </c>
      <c r="Q15" s="84">
        <v>10</v>
      </c>
      <c r="R15" s="84">
        <v>10</v>
      </c>
      <c r="S15" s="80">
        <v>10.5</v>
      </c>
      <c r="T15" s="80">
        <v>10</v>
      </c>
      <c r="U15" s="80">
        <v>6</v>
      </c>
      <c r="V15" s="80">
        <v>11</v>
      </c>
      <c r="W15" s="80">
        <v>11.5</v>
      </c>
      <c r="X15" s="80">
        <v>8.5</v>
      </c>
      <c r="Y15" s="80">
        <v>10</v>
      </c>
      <c r="Z15" s="80">
        <v>11</v>
      </c>
      <c r="AA15" s="80">
        <v>9.5</v>
      </c>
      <c r="AB15" s="80">
        <v>10</v>
      </c>
      <c r="AC15" s="80">
        <v>9</v>
      </c>
      <c r="AD15" s="80">
        <v>9.5</v>
      </c>
      <c r="AE15" s="80">
        <v>11</v>
      </c>
      <c r="AF15" s="80">
        <v>11</v>
      </c>
      <c r="AG15" s="80">
        <v>11</v>
      </c>
      <c r="AH15" s="80">
        <v>11</v>
      </c>
      <c r="AI15" s="80">
        <v>9.5</v>
      </c>
      <c r="AJ15" s="80">
        <v>10</v>
      </c>
      <c r="AK15" s="80">
        <v>12</v>
      </c>
      <c r="AL15" s="80">
        <v>9</v>
      </c>
      <c r="AM15" s="80">
        <v>9.5</v>
      </c>
      <c r="AN15" s="80">
        <v>11</v>
      </c>
      <c r="AO15" s="80">
        <v>8.5</v>
      </c>
      <c r="AP15" s="80">
        <v>9</v>
      </c>
      <c r="AQ15" s="80">
        <v>10.5</v>
      </c>
      <c r="AR15" s="80">
        <v>10</v>
      </c>
      <c r="AS15" s="80">
        <v>10</v>
      </c>
      <c r="AT15" s="80">
        <v>10.5</v>
      </c>
      <c r="AU15" s="80">
        <v>10.5</v>
      </c>
      <c r="AV15" s="80">
        <v>11</v>
      </c>
      <c r="AW15" s="80">
        <v>11.5</v>
      </c>
      <c r="AX15" s="80">
        <v>11.5</v>
      </c>
      <c r="AY15" s="80">
        <v>10.6</v>
      </c>
      <c r="AZ15" s="80">
        <v>11</v>
      </c>
      <c r="BA15" s="80">
        <v>10</v>
      </c>
      <c r="BB15" s="80">
        <v>10.5</v>
      </c>
      <c r="BC15" s="80">
        <v>11.5</v>
      </c>
      <c r="BD15" s="81">
        <v>10</v>
      </c>
      <c r="BE15" s="81">
        <v>9</v>
      </c>
      <c r="BF15" s="81">
        <v>9.5</v>
      </c>
      <c r="BG15" s="81">
        <v>11</v>
      </c>
      <c r="BH15" s="81">
        <v>11</v>
      </c>
      <c r="BI15" s="81">
        <v>11</v>
      </c>
    </row>
    <row r="16" spans="1:61" s="81" customFormat="1" ht="18.75" customHeight="1">
      <c r="A16" s="80" t="s">
        <v>97</v>
      </c>
      <c r="B16" s="80">
        <v>9.5</v>
      </c>
      <c r="C16" s="80">
        <v>11</v>
      </c>
      <c r="D16" s="80">
        <v>12</v>
      </c>
      <c r="E16" s="80">
        <v>10</v>
      </c>
      <c r="F16" s="80">
        <v>12</v>
      </c>
      <c r="G16" s="80">
        <v>12</v>
      </c>
      <c r="H16" s="80">
        <v>9.5</v>
      </c>
      <c r="I16" s="80">
        <v>8.5</v>
      </c>
      <c r="J16" s="80">
        <v>9.5</v>
      </c>
      <c r="K16" s="80">
        <v>11</v>
      </c>
      <c r="L16" s="84">
        <v>12</v>
      </c>
      <c r="M16" s="84">
        <v>11</v>
      </c>
      <c r="N16" s="84">
        <v>13</v>
      </c>
      <c r="O16" s="84">
        <v>10.5</v>
      </c>
      <c r="P16" s="84">
        <v>11</v>
      </c>
      <c r="Q16" s="84">
        <v>10</v>
      </c>
      <c r="R16" s="84">
        <v>10</v>
      </c>
      <c r="S16" s="80">
        <v>10.5</v>
      </c>
      <c r="T16" s="80">
        <v>10</v>
      </c>
      <c r="U16" s="80">
        <v>6</v>
      </c>
      <c r="V16" s="80">
        <v>11</v>
      </c>
      <c r="W16" s="80">
        <v>11</v>
      </c>
      <c r="X16" s="80">
        <v>8.5</v>
      </c>
      <c r="Y16" s="80">
        <v>10</v>
      </c>
      <c r="Z16" s="80">
        <v>11</v>
      </c>
      <c r="AA16" s="80">
        <v>9.5</v>
      </c>
      <c r="AB16" s="80">
        <v>10</v>
      </c>
      <c r="AC16" s="80">
        <v>9</v>
      </c>
      <c r="AD16" s="80">
        <v>9.5</v>
      </c>
      <c r="AE16" s="80">
        <v>11</v>
      </c>
      <c r="AF16" s="80">
        <v>11</v>
      </c>
      <c r="AG16" s="80">
        <v>11</v>
      </c>
      <c r="AH16" s="80">
        <v>11</v>
      </c>
      <c r="AI16" s="80">
        <v>9.5</v>
      </c>
      <c r="AJ16" s="80">
        <v>10</v>
      </c>
      <c r="AK16" s="80">
        <v>12</v>
      </c>
      <c r="AL16" s="80">
        <v>9</v>
      </c>
      <c r="AM16" s="80">
        <v>9.5</v>
      </c>
      <c r="AN16" s="80">
        <v>11</v>
      </c>
      <c r="AO16" s="80">
        <v>8.5</v>
      </c>
      <c r="AP16" s="80">
        <v>10</v>
      </c>
      <c r="AQ16" s="80">
        <v>10.5</v>
      </c>
      <c r="AR16" s="80">
        <v>10</v>
      </c>
      <c r="AS16" s="80">
        <v>10</v>
      </c>
      <c r="AT16" s="80">
        <v>10.5</v>
      </c>
      <c r="AU16" s="80">
        <v>10.5</v>
      </c>
      <c r="AV16" s="80">
        <v>11</v>
      </c>
      <c r="AW16" s="80">
        <v>11.5</v>
      </c>
      <c r="AX16" s="80">
        <v>11.5</v>
      </c>
      <c r="AY16" s="80">
        <v>10.4</v>
      </c>
      <c r="AZ16" s="80">
        <v>11</v>
      </c>
      <c r="BA16" s="80">
        <v>10</v>
      </c>
      <c r="BB16" s="80">
        <v>10.5</v>
      </c>
      <c r="BC16" s="80">
        <v>11</v>
      </c>
      <c r="BD16" s="81">
        <v>10</v>
      </c>
      <c r="BE16" s="81">
        <v>9</v>
      </c>
      <c r="BF16" s="81">
        <v>9.5</v>
      </c>
      <c r="BG16" s="81">
        <v>11</v>
      </c>
      <c r="BH16" s="81">
        <v>12</v>
      </c>
      <c r="BI16" s="81">
        <v>11</v>
      </c>
    </row>
    <row r="17" spans="1:61" s="81" customFormat="1" ht="18.75" customHeight="1">
      <c r="A17" s="80" t="s">
        <v>98</v>
      </c>
      <c r="B17" s="80">
        <v>7.5</v>
      </c>
      <c r="C17" s="80">
        <v>8</v>
      </c>
      <c r="D17" s="80">
        <v>7</v>
      </c>
      <c r="E17" s="80">
        <v>5</v>
      </c>
      <c r="F17" s="80">
        <v>8</v>
      </c>
      <c r="G17" s="80">
        <v>9</v>
      </c>
      <c r="H17" s="80">
        <v>6.5</v>
      </c>
      <c r="I17" s="80">
        <v>7.5</v>
      </c>
      <c r="J17" s="80">
        <v>7.5</v>
      </c>
      <c r="K17" s="80">
        <v>8</v>
      </c>
      <c r="L17" s="84">
        <v>8.5</v>
      </c>
      <c r="M17" s="84">
        <v>7</v>
      </c>
      <c r="N17" s="84">
        <v>7.5</v>
      </c>
      <c r="O17" s="84">
        <v>7</v>
      </c>
      <c r="P17" s="84">
        <v>7.5</v>
      </c>
      <c r="Q17" s="84">
        <v>8</v>
      </c>
      <c r="R17" s="84">
        <v>6</v>
      </c>
      <c r="S17" s="80">
        <v>6</v>
      </c>
      <c r="T17" s="80">
        <v>6.5</v>
      </c>
      <c r="U17" s="80">
        <v>7.5</v>
      </c>
      <c r="V17" s="80">
        <v>7</v>
      </c>
      <c r="W17" s="80">
        <v>7.5</v>
      </c>
      <c r="X17" s="80">
        <v>7</v>
      </c>
      <c r="Y17" s="80">
        <v>8</v>
      </c>
      <c r="Z17" s="80">
        <v>7</v>
      </c>
      <c r="AA17" s="80">
        <v>7.5</v>
      </c>
      <c r="AB17" s="80">
        <v>6</v>
      </c>
      <c r="AC17" s="80">
        <v>6.5</v>
      </c>
      <c r="AD17" s="80">
        <v>6</v>
      </c>
      <c r="AE17" s="80">
        <v>7</v>
      </c>
      <c r="AF17" s="80">
        <v>7</v>
      </c>
      <c r="AG17" s="80">
        <v>6.5</v>
      </c>
      <c r="AH17" s="80">
        <v>7</v>
      </c>
      <c r="AI17" s="80">
        <v>8.5</v>
      </c>
      <c r="AJ17" s="80">
        <v>6.5</v>
      </c>
      <c r="AK17" s="80">
        <v>8</v>
      </c>
      <c r="AL17" s="80">
        <v>6</v>
      </c>
      <c r="AM17" s="80">
        <v>6</v>
      </c>
      <c r="AN17" s="80">
        <v>7.5</v>
      </c>
      <c r="AO17" s="80">
        <v>7.5</v>
      </c>
      <c r="AP17" s="80">
        <v>7</v>
      </c>
      <c r="AQ17" s="80">
        <v>6.5</v>
      </c>
      <c r="AR17" s="80">
        <v>7</v>
      </c>
      <c r="AS17" s="80">
        <v>6.5</v>
      </c>
      <c r="AT17" s="80">
        <v>7.5</v>
      </c>
      <c r="AU17" s="80">
        <v>6.5</v>
      </c>
      <c r="AV17" s="80">
        <v>6.5</v>
      </c>
      <c r="AW17" s="80">
        <v>6.5</v>
      </c>
      <c r="AX17" s="80">
        <v>7.5</v>
      </c>
      <c r="AY17" s="80">
        <v>6.5</v>
      </c>
      <c r="AZ17" s="80">
        <v>6.5</v>
      </c>
      <c r="BA17" s="80">
        <v>8</v>
      </c>
      <c r="BB17" s="80">
        <v>7</v>
      </c>
      <c r="BC17" s="80">
        <v>8</v>
      </c>
      <c r="BD17" s="81">
        <v>7</v>
      </c>
      <c r="BE17" s="81">
        <v>6.5</v>
      </c>
      <c r="BF17" s="81">
        <v>7</v>
      </c>
      <c r="BG17" s="81">
        <v>7.5</v>
      </c>
      <c r="BH17" s="81">
        <v>7.5</v>
      </c>
      <c r="BI17" s="81">
        <v>7</v>
      </c>
    </row>
    <row r="18" spans="1:61" s="81" customFormat="1" ht="18.75" customHeight="1">
      <c r="A18" s="80" t="s">
        <v>99</v>
      </c>
      <c r="B18" s="80">
        <v>7.5</v>
      </c>
      <c r="C18" s="80">
        <v>8</v>
      </c>
      <c r="D18" s="80">
        <v>7</v>
      </c>
      <c r="E18" s="80">
        <v>5</v>
      </c>
      <c r="F18" s="80">
        <v>8</v>
      </c>
      <c r="G18" s="80">
        <v>9</v>
      </c>
      <c r="H18" s="80">
        <v>6.5</v>
      </c>
      <c r="I18" s="80">
        <v>8</v>
      </c>
      <c r="J18" s="80">
        <v>7.5</v>
      </c>
      <c r="K18" s="80">
        <v>7.5</v>
      </c>
      <c r="L18" s="84">
        <v>8.5</v>
      </c>
      <c r="M18" s="84">
        <v>6.5</v>
      </c>
      <c r="N18" s="84">
        <v>7.5</v>
      </c>
      <c r="O18" s="84">
        <v>7</v>
      </c>
      <c r="P18" s="84">
        <v>7.5</v>
      </c>
      <c r="Q18" s="84">
        <v>8</v>
      </c>
      <c r="R18" s="84">
        <v>6</v>
      </c>
      <c r="S18" s="80">
        <v>6</v>
      </c>
      <c r="T18" s="80">
        <v>6.5</v>
      </c>
      <c r="U18" s="80">
        <v>7.5</v>
      </c>
      <c r="V18" s="80">
        <v>7.5</v>
      </c>
      <c r="W18" s="80">
        <v>7.5</v>
      </c>
      <c r="X18" s="80">
        <v>7</v>
      </c>
      <c r="Y18" s="80">
        <v>8</v>
      </c>
      <c r="Z18" s="80">
        <v>7</v>
      </c>
      <c r="AA18" s="80">
        <v>7.5</v>
      </c>
      <c r="AB18" s="80">
        <v>6</v>
      </c>
      <c r="AC18" s="80">
        <v>6.5</v>
      </c>
      <c r="AD18" s="80">
        <v>6</v>
      </c>
      <c r="AE18" s="80">
        <v>7</v>
      </c>
      <c r="AF18" s="80">
        <v>7</v>
      </c>
      <c r="AG18" s="80">
        <v>6.5</v>
      </c>
      <c r="AH18" s="80">
        <v>7</v>
      </c>
      <c r="AI18" s="80">
        <v>8.5</v>
      </c>
      <c r="AJ18" s="80">
        <v>6.5</v>
      </c>
      <c r="AK18" s="80">
        <v>8</v>
      </c>
      <c r="AL18" s="80">
        <v>6</v>
      </c>
      <c r="AM18" s="80">
        <v>6</v>
      </c>
      <c r="AN18" s="80">
        <v>7.5</v>
      </c>
      <c r="AO18" s="80">
        <v>7.5</v>
      </c>
      <c r="AP18" s="80">
        <v>7</v>
      </c>
      <c r="AQ18" s="80">
        <v>6.5</v>
      </c>
      <c r="AR18" s="80">
        <v>7</v>
      </c>
      <c r="AS18" s="80">
        <v>6.5</v>
      </c>
      <c r="AT18" s="80">
        <v>7.5</v>
      </c>
      <c r="AU18" s="80">
        <v>6.5</v>
      </c>
      <c r="AV18" s="80">
        <v>6.5</v>
      </c>
      <c r="AW18" s="80">
        <v>6.5</v>
      </c>
      <c r="AX18" s="80">
        <v>7.5</v>
      </c>
      <c r="AY18" s="80">
        <v>6.6</v>
      </c>
      <c r="AZ18" s="80">
        <v>6.5</v>
      </c>
      <c r="BA18" s="80">
        <v>8</v>
      </c>
      <c r="BB18" s="80">
        <v>7</v>
      </c>
      <c r="BC18" s="80">
        <v>8</v>
      </c>
      <c r="BD18" s="81">
        <v>7</v>
      </c>
      <c r="BE18" s="81">
        <v>6.5</v>
      </c>
      <c r="BF18" s="81">
        <v>7</v>
      </c>
      <c r="BG18" s="81">
        <v>7.5</v>
      </c>
      <c r="BH18" s="81">
        <v>7.5</v>
      </c>
      <c r="BI18" s="81">
        <v>7</v>
      </c>
    </row>
    <row r="19" spans="1:61" s="81" customFormat="1" ht="18.75" customHeight="1">
      <c r="A19" s="80" t="s">
        <v>100</v>
      </c>
      <c r="B19" s="80">
        <v>8.5</v>
      </c>
      <c r="C19" s="80">
        <v>9.5</v>
      </c>
      <c r="D19" s="80">
        <v>9.5</v>
      </c>
      <c r="E19" s="80">
        <v>8</v>
      </c>
      <c r="F19" s="80">
        <v>10</v>
      </c>
      <c r="G19" s="80">
        <v>12</v>
      </c>
      <c r="H19" s="80">
        <v>7.5</v>
      </c>
      <c r="I19" s="80">
        <v>8.5</v>
      </c>
      <c r="J19" s="80">
        <v>8.5</v>
      </c>
      <c r="K19" s="80">
        <v>9.5</v>
      </c>
      <c r="L19" s="84">
        <v>10</v>
      </c>
      <c r="M19" s="84">
        <v>10</v>
      </c>
      <c r="N19" s="84">
        <v>9.5</v>
      </c>
      <c r="O19" s="84">
        <v>9</v>
      </c>
      <c r="P19" s="84">
        <v>9</v>
      </c>
      <c r="Q19" s="84">
        <v>9.5</v>
      </c>
      <c r="R19" s="84">
        <v>8</v>
      </c>
      <c r="S19" s="80">
        <v>9</v>
      </c>
      <c r="T19" s="80">
        <v>8</v>
      </c>
      <c r="U19" s="80">
        <v>8</v>
      </c>
      <c r="V19" s="80">
        <v>8.5</v>
      </c>
      <c r="W19" s="80">
        <v>9</v>
      </c>
      <c r="X19" s="80">
        <v>8.5</v>
      </c>
      <c r="Y19" s="80">
        <v>9.5</v>
      </c>
      <c r="Z19" s="80">
        <v>9.5</v>
      </c>
      <c r="AA19" s="80">
        <v>9.5</v>
      </c>
      <c r="AB19" s="80">
        <v>9.5</v>
      </c>
      <c r="AC19" s="80">
        <v>8.5</v>
      </c>
      <c r="AD19" s="80">
        <v>9</v>
      </c>
      <c r="AE19" s="80">
        <v>9</v>
      </c>
      <c r="AF19" s="80">
        <v>9</v>
      </c>
      <c r="AG19" s="80">
        <v>9</v>
      </c>
      <c r="AH19" s="80">
        <v>8</v>
      </c>
      <c r="AI19" s="80">
        <v>10</v>
      </c>
      <c r="AJ19" s="80">
        <v>9.5</v>
      </c>
      <c r="AK19" s="80">
        <v>10.5</v>
      </c>
      <c r="AL19" s="80">
        <v>9</v>
      </c>
      <c r="AM19" s="80">
        <v>9</v>
      </c>
      <c r="AN19" s="80">
        <v>9.5</v>
      </c>
      <c r="AO19" s="80">
        <v>10</v>
      </c>
      <c r="AP19" s="80">
        <v>8.5</v>
      </c>
      <c r="AQ19" s="80">
        <v>10</v>
      </c>
      <c r="AR19" s="80">
        <v>10.5</v>
      </c>
      <c r="AS19" s="80">
        <v>9</v>
      </c>
      <c r="AT19" s="80">
        <v>10</v>
      </c>
      <c r="AU19" s="80">
        <v>9.5</v>
      </c>
      <c r="AV19" s="80">
        <v>9.5</v>
      </c>
      <c r="AW19" s="80">
        <v>9.5</v>
      </c>
      <c r="AX19" s="80">
        <v>10.5</v>
      </c>
      <c r="AY19" s="80">
        <v>8.6999999999999993</v>
      </c>
      <c r="AZ19" s="80">
        <v>9.5</v>
      </c>
      <c r="BA19" s="80">
        <v>10.5</v>
      </c>
      <c r="BB19" s="80">
        <v>9.5</v>
      </c>
      <c r="BC19" s="80">
        <v>10</v>
      </c>
      <c r="BD19" s="81">
        <v>8.5</v>
      </c>
      <c r="BE19" s="81">
        <v>9.5</v>
      </c>
      <c r="BF19" s="81">
        <v>10</v>
      </c>
      <c r="BG19" s="81">
        <v>9.5</v>
      </c>
      <c r="BH19" s="81">
        <v>10</v>
      </c>
      <c r="BI19" s="81">
        <v>10</v>
      </c>
    </row>
    <row r="20" spans="1:61" s="81" customFormat="1" ht="18.75" customHeight="1">
      <c r="A20" s="80" t="s">
        <v>101</v>
      </c>
      <c r="B20" s="80">
        <v>9</v>
      </c>
      <c r="C20" s="80">
        <v>9.5</v>
      </c>
      <c r="D20" s="80">
        <v>9.5</v>
      </c>
      <c r="E20" s="80">
        <v>8</v>
      </c>
      <c r="F20" s="80">
        <v>9</v>
      </c>
      <c r="G20" s="80">
        <v>13</v>
      </c>
      <c r="H20" s="80">
        <v>7.5</v>
      </c>
      <c r="I20" s="80">
        <v>8.5</v>
      </c>
      <c r="J20" s="80">
        <v>8.3000000000000007</v>
      </c>
      <c r="K20" s="80">
        <v>9.5</v>
      </c>
      <c r="L20" s="84">
        <v>10</v>
      </c>
      <c r="M20" s="84">
        <v>10</v>
      </c>
      <c r="N20" s="84">
        <v>9.5</v>
      </c>
      <c r="O20" s="84">
        <v>9</v>
      </c>
      <c r="P20" s="84">
        <v>9</v>
      </c>
      <c r="Q20" s="84">
        <v>9.5</v>
      </c>
      <c r="R20" s="84">
        <v>8</v>
      </c>
      <c r="S20" s="80">
        <v>9</v>
      </c>
      <c r="T20" s="80">
        <v>8.5</v>
      </c>
      <c r="U20" s="80">
        <v>8</v>
      </c>
      <c r="V20" s="80">
        <v>8.5</v>
      </c>
      <c r="W20" s="80">
        <v>9</v>
      </c>
      <c r="X20" s="80">
        <v>8.5</v>
      </c>
      <c r="Y20" s="80">
        <v>9.5</v>
      </c>
      <c r="Z20" s="80">
        <v>9.5</v>
      </c>
      <c r="AA20" s="80">
        <v>9.5</v>
      </c>
      <c r="AB20" s="80">
        <v>9.5</v>
      </c>
      <c r="AC20" s="80">
        <v>8.5</v>
      </c>
      <c r="AD20" s="80">
        <v>9</v>
      </c>
      <c r="AE20" s="80">
        <v>9</v>
      </c>
      <c r="AF20" s="80">
        <v>9</v>
      </c>
      <c r="AG20" s="80">
        <v>9</v>
      </c>
      <c r="AH20" s="80">
        <v>8</v>
      </c>
      <c r="AI20" s="80">
        <v>10</v>
      </c>
      <c r="AJ20" s="80">
        <v>9.5</v>
      </c>
      <c r="AK20" s="80">
        <v>10.5</v>
      </c>
      <c r="AL20" s="80">
        <v>9</v>
      </c>
      <c r="AM20" s="80">
        <v>9</v>
      </c>
      <c r="AN20" s="80">
        <v>9.5</v>
      </c>
      <c r="AO20" s="80">
        <v>10</v>
      </c>
      <c r="AP20" s="80">
        <v>8.5</v>
      </c>
      <c r="AQ20" s="80">
        <v>10</v>
      </c>
      <c r="AR20" s="80">
        <v>10.5</v>
      </c>
      <c r="AS20" s="80">
        <v>9</v>
      </c>
      <c r="AT20" s="80">
        <v>10</v>
      </c>
      <c r="AU20" s="80">
        <v>9.5</v>
      </c>
      <c r="AV20" s="80">
        <v>9.5</v>
      </c>
      <c r="AW20" s="80">
        <v>9.5</v>
      </c>
      <c r="AX20" s="80">
        <v>10.5</v>
      </c>
      <c r="AY20" s="80">
        <v>8.4</v>
      </c>
      <c r="AZ20" s="80">
        <v>9.5</v>
      </c>
      <c r="BA20" s="80">
        <v>10.5</v>
      </c>
      <c r="BB20" s="80">
        <v>9.5</v>
      </c>
      <c r="BC20" s="80">
        <v>10</v>
      </c>
      <c r="BD20" s="81">
        <v>8.5</v>
      </c>
      <c r="BE20" s="81">
        <v>9.5</v>
      </c>
      <c r="BF20" s="81">
        <v>10</v>
      </c>
      <c r="BG20" s="81">
        <v>9.5</v>
      </c>
      <c r="BH20" s="81">
        <v>10</v>
      </c>
      <c r="BI20" s="81">
        <v>10</v>
      </c>
    </row>
    <row r="21" spans="1:61" s="81" customFormat="1" ht="18.75" customHeight="1">
      <c r="A21" s="80" t="s">
        <v>102</v>
      </c>
      <c r="B21" s="80"/>
      <c r="C21" s="80"/>
      <c r="D21" s="80"/>
      <c r="E21" s="80">
        <v>23</v>
      </c>
      <c r="F21" s="80"/>
      <c r="G21" s="80"/>
      <c r="H21" s="80"/>
      <c r="I21" s="80">
        <v>22</v>
      </c>
      <c r="J21" s="80">
        <v>23</v>
      </c>
      <c r="K21" s="80">
        <v>25</v>
      </c>
      <c r="L21" s="84">
        <v>270</v>
      </c>
      <c r="M21" s="84">
        <v>235</v>
      </c>
      <c r="N21" s="84">
        <v>240</v>
      </c>
      <c r="O21" s="84">
        <v>265</v>
      </c>
      <c r="P21" s="84">
        <v>230</v>
      </c>
      <c r="Q21" s="84">
        <v>240</v>
      </c>
      <c r="R21" s="84">
        <v>260</v>
      </c>
      <c r="S21" s="80">
        <v>250</v>
      </c>
      <c r="T21" s="80">
        <v>235</v>
      </c>
      <c r="U21" s="80">
        <v>230</v>
      </c>
      <c r="V21" s="80">
        <v>245</v>
      </c>
      <c r="W21" s="80">
        <v>245</v>
      </c>
      <c r="X21" s="80">
        <v>230</v>
      </c>
      <c r="Y21" s="80">
        <v>265</v>
      </c>
      <c r="Z21" s="80">
        <v>265</v>
      </c>
      <c r="AA21" s="80">
        <v>275</v>
      </c>
      <c r="AB21" s="80">
        <v>260</v>
      </c>
      <c r="AC21" s="80">
        <v>240</v>
      </c>
      <c r="AD21" s="80">
        <v>240</v>
      </c>
      <c r="AE21" s="80">
        <v>230</v>
      </c>
      <c r="AF21" s="80">
        <v>230</v>
      </c>
      <c r="AG21" s="80">
        <v>240</v>
      </c>
      <c r="AH21" s="80">
        <v>235</v>
      </c>
      <c r="AI21" s="80">
        <v>270</v>
      </c>
      <c r="AJ21" s="80">
        <v>245</v>
      </c>
      <c r="AK21" s="80">
        <v>275</v>
      </c>
      <c r="AL21" s="80">
        <v>220</v>
      </c>
      <c r="AM21" s="80">
        <v>240</v>
      </c>
      <c r="AN21" s="80">
        <v>255</v>
      </c>
      <c r="AO21" s="80">
        <v>275</v>
      </c>
      <c r="AP21" s="80">
        <v>260</v>
      </c>
      <c r="AQ21" s="80">
        <v>245</v>
      </c>
      <c r="AR21" s="80">
        <v>260</v>
      </c>
      <c r="AS21" s="80">
        <v>245</v>
      </c>
      <c r="AT21" s="80">
        <v>265</v>
      </c>
      <c r="AU21" s="80">
        <v>245</v>
      </c>
      <c r="AV21" s="80">
        <v>255</v>
      </c>
      <c r="AW21" s="80">
        <v>240</v>
      </c>
      <c r="AX21" s="80">
        <v>280</v>
      </c>
      <c r="AY21" s="80">
        <v>245</v>
      </c>
      <c r="AZ21" s="80">
        <v>240</v>
      </c>
      <c r="BA21" s="80">
        <v>270</v>
      </c>
      <c r="BB21" s="80">
        <v>245</v>
      </c>
      <c r="BC21" s="80">
        <v>270</v>
      </c>
      <c r="BD21" s="81">
        <v>230</v>
      </c>
      <c r="BE21" s="81">
        <v>230</v>
      </c>
      <c r="BF21" s="81">
        <v>245</v>
      </c>
      <c r="BG21" s="81">
        <v>250</v>
      </c>
      <c r="BH21" s="81">
        <v>250</v>
      </c>
      <c r="BI21" s="81">
        <v>230</v>
      </c>
    </row>
    <row r="22" spans="1:61" s="81" customFormat="1" ht="18.75" customHeight="1">
      <c r="A22" s="80" t="s">
        <v>103</v>
      </c>
      <c r="B22" s="80">
        <v>26</v>
      </c>
      <c r="C22" s="80">
        <v>23.5</v>
      </c>
      <c r="D22" s="80">
        <v>24</v>
      </c>
      <c r="E22" s="80">
        <v>23</v>
      </c>
      <c r="F22" s="80">
        <v>23</v>
      </c>
      <c r="G22" s="80">
        <v>25</v>
      </c>
      <c r="H22" s="80">
        <v>23</v>
      </c>
      <c r="I22" s="80"/>
      <c r="J22" s="80">
        <v>23</v>
      </c>
      <c r="K22" s="80">
        <v>25</v>
      </c>
      <c r="L22" s="84">
        <v>270</v>
      </c>
      <c r="M22" s="84">
        <v>235</v>
      </c>
      <c r="N22" s="84">
        <v>240</v>
      </c>
      <c r="O22" s="84">
        <v>265</v>
      </c>
      <c r="P22" s="84">
        <v>230</v>
      </c>
      <c r="Q22" s="84">
        <v>240</v>
      </c>
      <c r="R22" s="84">
        <v>260</v>
      </c>
      <c r="S22" s="80">
        <v>250</v>
      </c>
      <c r="T22" s="80">
        <v>235</v>
      </c>
      <c r="U22" s="80">
        <v>230</v>
      </c>
      <c r="V22" s="80">
        <v>245</v>
      </c>
      <c r="W22" s="80">
        <v>245</v>
      </c>
      <c r="X22" s="80">
        <v>230</v>
      </c>
      <c r="Y22" s="80">
        <v>265</v>
      </c>
      <c r="Z22" s="80">
        <v>265</v>
      </c>
      <c r="AA22" s="80">
        <v>275</v>
      </c>
      <c r="AB22" s="80">
        <v>260</v>
      </c>
      <c r="AC22" s="80">
        <v>240</v>
      </c>
      <c r="AD22" s="80">
        <v>240</v>
      </c>
      <c r="AE22" s="80">
        <v>230</v>
      </c>
      <c r="AF22" s="80">
        <v>230</v>
      </c>
      <c r="AG22" s="80">
        <v>240</v>
      </c>
      <c r="AH22" s="80">
        <v>235</v>
      </c>
      <c r="AI22" s="80">
        <v>270</v>
      </c>
      <c r="AJ22" s="80">
        <v>245</v>
      </c>
      <c r="AK22" s="80">
        <v>275</v>
      </c>
      <c r="AL22" s="80">
        <v>220</v>
      </c>
      <c r="AM22" s="80">
        <v>240</v>
      </c>
      <c r="AN22" s="80">
        <v>255</v>
      </c>
      <c r="AO22" s="80">
        <v>275</v>
      </c>
      <c r="AP22" s="80">
        <v>260</v>
      </c>
      <c r="AQ22" s="80">
        <v>245</v>
      </c>
      <c r="AR22" s="80">
        <v>260</v>
      </c>
      <c r="AS22" s="80">
        <v>245</v>
      </c>
      <c r="AT22" s="80">
        <v>265</v>
      </c>
      <c r="AU22" s="80">
        <v>245</v>
      </c>
      <c r="AV22" s="80">
        <v>255</v>
      </c>
      <c r="AW22" s="80">
        <v>240</v>
      </c>
      <c r="AX22" s="80">
        <v>280</v>
      </c>
      <c r="AY22" s="80">
        <v>245</v>
      </c>
      <c r="AZ22" s="80">
        <v>240</v>
      </c>
      <c r="BA22" s="80">
        <v>270</v>
      </c>
      <c r="BB22" s="80">
        <v>245</v>
      </c>
      <c r="BC22" s="80">
        <v>270</v>
      </c>
      <c r="BD22" s="81">
        <v>230</v>
      </c>
      <c r="BE22" s="81">
        <v>230</v>
      </c>
      <c r="BF22" s="81">
        <v>245</v>
      </c>
      <c r="BG22" s="81">
        <v>250</v>
      </c>
      <c r="BH22" s="81">
        <v>250</v>
      </c>
      <c r="BI22" s="81">
        <v>230</v>
      </c>
    </row>
    <row r="23" spans="1:61" s="81" customFormat="1" ht="18.75" customHeight="1">
      <c r="A23" s="80" t="s">
        <v>104</v>
      </c>
      <c r="B23" s="80">
        <v>70</v>
      </c>
      <c r="C23" s="80">
        <v>100</v>
      </c>
      <c r="D23" s="80">
        <v>100</v>
      </c>
      <c r="E23" s="80">
        <v>100</v>
      </c>
      <c r="F23" s="80">
        <v>100</v>
      </c>
      <c r="G23" s="80">
        <v>100</v>
      </c>
      <c r="H23" s="80">
        <v>100</v>
      </c>
      <c r="I23" s="80">
        <v>100</v>
      </c>
      <c r="J23" s="80">
        <v>100</v>
      </c>
      <c r="K23" s="80">
        <v>100</v>
      </c>
      <c r="L23" s="84">
        <v>100</v>
      </c>
      <c r="M23" s="84">
        <v>100</v>
      </c>
      <c r="N23" s="84">
        <v>100</v>
      </c>
      <c r="O23" s="84">
        <v>100</v>
      </c>
      <c r="P23" s="84">
        <v>100</v>
      </c>
      <c r="Q23" s="84">
        <v>100</v>
      </c>
      <c r="R23" s="84">
        <v>100</v>
      </c>
      <c r="S23" s="80">
        <v>100</v>
      </c>
      <c r="T23" s="80">
        <v>70</v>
      </c>
      <c r="U23" s="80">
        <v>40</v>
      </c>
      <c r="V23" s="80">
        <v>100</v>
      </c>
      <c r="W23" s="80">
        <v>70</v>
      </c>
      <c r="X23" s="80">
        <v>100</v>
      </c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1">
        <v>100</v>
      </c>
      <c r="BE23" s="81">
        <v>100</v>
      </c>
      <c r="BF23" s="81">
        <v>100</v>
      </c>
      <c r="BG23" s="81">
        <v>90</v>
      </c>
      <c r="BH23" s="81">
        <v>50</v>
      </c>
      <c r="BI23" s="81">
        <v>100</v>
      </c>
    </row>
    <row r="24" spans="1:61" s="81" customFormat="1" ht="18.75" customHeight="1">
      <c r="A24" s="80" t="s">
        <v>105</v>
      </c>
      <c r="B24" s="80">
        <v>50</v>
      </c>
      <c r="C24" s="80">
        <v>100</v>
      </c>
      <c r="D24" s="80">
        <v>70</v>
      </c>
      <c r="E24" s="80">
        <v>80</v>
      </c>
      <c r="F24" s="80">
        <v>100</v>
      </c>
      <c r="G24" s="80">
        <v>100</v>
      </c>
      <c r="H24" s="80">
        <v>100</v>
      </c>
      <c r="I24" s="80">
        <v>100</v>
      </c>
      <c r="J24" s="80">
        <v>100</v>
      </c>
      <c r="K24" s="80">
        <v>90</v>
      </c>
      <c r="L24" s="84">
        <v>100</v>
      </c>
      <c r="M24" s="84">
        <v>70</v>
      </c>
      <c r="N24" s="84">
        <v>90</v>
      </c>
      <c r="O24" s="84">
        <v>100</v>
      </c>
      <c r="P24" s="84">
        <v>100</v>
      </c>
      <c r="Q24" s="84">
        <v>100</v>
      </c>
      <c r="R24" s="84">
        <v>100</v>
      </c>
      <c r="S24" s="80">
        <v>100</v>
      </c>
      <c r="T24" s="80">
        <v>20</v>
      </c>
      <c r="U24" s="80">
        <v>50</v>
      </c>
      <c r="V24" s="80">
        <v>90</v>
      </c>
      <c r="W24" s="80">
        <v>70</v>
      </c>
      <c r="X24" s="80">
        <v>90</v>
      </c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1">
        <v>100</v>
      </c>
      <c r="BE24" s="81">
        <v>100</v>
      </c>
      <c r="BF24" s="81">
        <v>100</v>
      </c>
      <c r="BG24" s="81">
        <v>90</v>
      </c>
      <c r="BH24" s="81">
        <v>40</v>
      </c>
      <c r="BI24" s="81">
        <v>100</v>
      </c>
    </row>
    <row r="25" spans="1:61" s="81" customFormat="1" ht="18.75" customHeight="1">
      <c r="A25" s="80" t="s">
        <v>106</v>
      </c>
      <c r="B25" s="80">
        <v>70</v>
      </c>
      <c r="C25" s="80">
        <v>100</v>
      </c>
      <c r="D25" s="80">
        <v>80</v>
      </c>
      <c r="E25" s="80">
        <v>100</v>
      </c>
      <c r="F25" s="80">
        <v>100</v>
      </c>
      <c r="G25" s="80">
        <v>100</v>
      </c>
      <c r="H25" s="80">
        <v>100</v>
      </c>
      <c r="I25" s="80">
        <v>100</v>
      </c>
      <c r="J25" s="80">
        <v>100</v>
      </c>
      <c r="K25" s="80">
        <v>90</v>
      </c>
      <c r="L25" s="84">
        <v>100</v>
      </c>
      <c r="M25" s="84">
        <v>100</v>
      </c>
      <c r="N25" s="84">
        <v>80</v>
      </c>
      <c r="O25" s="84">
        <v>100</v>
      </c>
      <c r="P25" s="84">
        <v>100</v>
      </c>
      <c r="Q25" s="84">
        <v>100</v>
      </c>
      <c r="R25" s="84">
        <v>100</v>
      </c>
      <c r="S25" s="80">
        <v>100</v>
      </c>
      <c r="T25" s="80">
        <v>50</v>
      </c>
      <c r="U25" s="80">
        <v>60</v>
      </c>
      <c r="V25" s="80">
        <v>100</v>
      </c>
      <c r="W25" s="80">
        <v>80</v>
      </c>
      <c r="X25" s="80">
        <v>100</v>
      </c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1">
        <v>100</v>
      </c>
      <c r="BE25" s="81">
        <v>100</v>
      </c>
      <c r="BF25" s="81">
        <v>100</v>
      </c>
      <c r="BG25" s="81">
        <v>90</v>
      </c>
      <c r="BH25" s="81">
        <v>100</v>
      </c>
      <c r="BI25" s="81">
        <v>100</v>
      </c>
    </row>
    <row r="26" spans="1:61" s="81" customFormat="1" ht="18.75" customHeight="1">
      <c r="A26" s="80" t="s">
        <v>107</v>
      </c>
      <c r="B26" s="80">
        <v>100</v>
      </c>
      <c r="C26" s="80">
        <v>100</v>
      </c>
      <c r="D26" s="80">
        <v>90</v>
      </c>
      <c r="E26" s="80">
        <v>100</v>
      </c>
      <c r="F26" s="80">
        <v>100</v>
      </c>
      <c r="G26" s="80">
        <v>100</v>
      </c>
      <c r="H26" s="80">
        <v>100</v>
      </c>
      <c r="I26" s="80">
        <v>100</v>
      </c>
      <c r="J26" s="80">
        <v>100</v>
      </c>
      <c r="K26" s="80">
        <v>100</v>
      </c>
      <c r="L26" s="84">
        <v>100</v>
      </c>
      <c r="M26" s="84">
        <v>100</v>
      </c>
      <c r="N26" s="84">
        <v>90</v>
      </c>
      <c r="O26" s="84">
        <v>100</v>
      </c>
      <c r="P26" s="84">
        <v>100</v>
      </c>
      <c r="Q26" s="84">
        <v>100</v>
      </c>
      <c r="R26" s="84">
        <v>100</v>
      </c>
      <c r="S26" s="80">
        <v>100</v>
      </c>
      <c r="T26" s="80">
        <v>20</v>
      </c>
      <c r="U26" s="80">
        <v>30</v>
      </c>
      <c r="V26" s="80">
        <v>100</v>
      </c>
      <c r="W26" s="80">
        <v>60</v>
      </c>
      <c r="X26" s="80">
        <v>100</v>
      </c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1">
        <v>100</v>
      </c>
      <c r="BE26" s="81">
        <v>100</v>
      </c>
      <c r="BF26" s="81">
        <v>100</v>
      </c>
      <c r="BG26" s="81">
        <v>80</v>
      </c>
      <c r="BH26" s="81">
        <v>100</v>
      </c>
      <c r="BI26" s="81">
        <v>100</v>
      </c>
    </row>
    <row r="27" spans="1:61" s="81" customFormat="1" ht="18.75" customHeight="1">
      <c r="A27" s="80" t="s">
        <v>108</v>
      </c>
      <c r="B27" s="80">
        <v>100</v>
      </c>
      <c r="C27" s="80">
        <v>100</v>
      </c>
      <c r="D27" s="80">
        <v>80</v>
      </c>
      <c r="E27" s="80">
        <v>100</v>
      </c>
      <c r="F27" s="80">
        <v>100</v>
      </c>
      <c r="G27" s="80">
        <v>100</v>
      </c>
      <c r="H27" s="80">
        <v>100</v>
      </c>
      <c r="I27" s="80">
        <v>100</v>
      </c>
      <c r="J27" s="80">
        <v>100</v>
      </c>
      <c r="K27" s="80">
        <v>100</v>
      </c>
      <c r="L27" s="84">
        <v>100</v>
      </c>
      <c r="M27" s="84">
        <v>100</v>
      </c>
      <c r="N27" s="84">
        <v>90</v>
      </c>
      <c r="O27" s="84">
        <v>100</v>
      </c>
      <c r="P27" s="84">
        <v>100</v>
      </c>
      <c r="Q27" s="84">
        <v>100</v>
      </c>
      <c r="R27" s="84">
        <v>100</v>
      </c>
      <c r="S27" s="80">
        <v>100</v>
      </c>
      <c r="T27" s="80">
        <v>20</v>
      </c>
      <c r="U27" s="80">
        <v>30</v>
      </c>
      <c r="V27" s="80">
        <v>100</v>
      </c>
      <c r="W27" s="80">
        <v>70</v>
      </c>
      <c r="X27" s="80">
        <v>100</v>
      </c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1">
        <v>100</v>
      </c>
      <c r="BE27" s="81">
        <v>100</v>
      </c>
      <c r="BF27" s="81">
        <v>100</v>
      </c>
      <c r="BG27" s="81">
        <v>80</v>
      </c>
      <c r="BH27" s="81">
        <v>100</v>
      </c>
      <c r="BI27" s="81">
        <v>100</v>
      </c>
    </row>
    <row r="28" spans="1:61" s="81" customFormat="1" ht="18.75" customHeight="1">
      <c r="A28" s="80" t="s">
        <v>109</v>
      </c>
      <c r="B28" s="80">
        <v>70</v>
      </c>
      <c r="C28" s="80">
        <v>100</v>
      </c>
      <c r="D28" s="80">
        <v>70</v>
      </c>
      <c r="E28" s="80">
        <v>80</v>
      </c>
      <c r="F28" s="80">
        <v>100</v>
      </c>
      <c r="G28" s="80">
        <v>100</v>
      </c>
      <c r="H28" s="80">
        <v>100</v>
      </c>
      <c r="I28" s="80">
        <v>100</v>
      </c>
      <c r="J28" s="80">
        <v>100</v>
      </c>
      <c r="K28" s="80">
        <v>90</v>
      </c>
      <c r="L28" s="84">
        <v>100</v>
      </c>
      <c r="M28" s="84">
        <v>100</v>
      </c>
      <c r="N28" s="84">
        <v>90</v>
      </c>
      <c r="O28" s="84">
        <v>100</v>
      </c>
      <c r="P28" s="84">
        <v>100</v>
      </c>
      <c r="Q28" s="84">
        <v>100</v>
      </c>
      <c r="R28" s="84">
        <v>100</v>
      </c>
      <c r="S28" s="80">
        <v>100</v>
      </c>
      <c r="T28" s="80">
        <v>20</v>
      </c>
      <c r="U28" s="80">
        <v>30</v>
      </c>
      <c r="V28" s="80">
        <v>90</v>
      </c>
      <c r="W28" s="80">
        <v>70</v>
      </c>
      <c r="X28" s="80">
        <v>100</v>
      </c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1">
        <v>100</v>
      </c>
      <c r="BE28" s="81">
        <v>100</v>
      </c>
      <c r="BF28" s="81">
        <v>100</v>
      </c>
      <c r="BG28" s="81">
        <v>80</v>
      </c>
      <c r="BH28" s="81">
        <v>60</v>
      </c>
      <c r="BI28" s="81">
        <v>100</v>
      </c>
    </row>
    <row r="29" spans="1:61" s="81" customFormat="1" ht="18.75" customHeight="1">
      <c r="A29" s="80" t="s">
        <v>110</v>
      </c>
      <c r="B29" s="80">
        <v>70</v>
      </c>
      <c r="C29" s="80">
        <v>100</v>
      </c>
      <c r="D29" s="80">
        <v>100</v>
      </c>
      <c r="E29" s="80">
        <v>100</v>
      </c>
      <c r="F29" s="80">
        <v>100</v>
      </c>
      <c r="G29" s="80">
        <v>100</v>
      </c>
      <c r="H29" s="80">
        <v>100</v>
      </c>
      <c r="I29" s="80">
        <v>100</v>
      </c>
      <c r="J29" s="80">
        <v>100</v>
      </c>
      <c r="K29" s="80">
        <v>100</v>
      </c>
      <c r="L29" s="84">
        <v>100</v>
      </c>
      <c r="M29" s="84">
        <v>100</v>
      </c>
      <c r="N29" s="84">
        <v>100</v>
      </c>
      <c r="O29" s="84">
        <v>100</v>
      </c>
      <c r="P29" s="84">
        <v>100</v>
      </c>
      <c r="Q29" s="84">
        <v>100</v>
      </c>
      <c r="R29" s="84">
        <v>100</v>
      </c>
      <c r="S29" s="80">
        <v>100</v>
      </c>
      <c r="T29" s="80">
        <v>20</v>
      </c>
      <c r="U29" s="80">
        <v>30</v>
      </c>
      <c r="V29" s="80">
        <v>90</v>
      </c>
      <c r="W29" s="80">
        <v>70</v>
      </c>
      <c r="X29" s="80">
        <v>100</v>
      </c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1">
        <v>100</v>
      </c>
      <c r="BE29" s="81">
        <v>100</v>
      </c>
      <c r="BF29" s="81">
        <v>100</v>
      </c>
      <c r="BG29" s="81">
        <v>80</v>
      </c>
      <c r="BH29" s="81">
        <v>50</v>
      </c>
      <c r="BI29" s="81">
        <v>100</v>
      </c>
    </row>
    <row r="30" spans="1:61" s="81" customFormat="1" ht="18.75" customHeight="1">
      <c r="A30" s="80" t="s">
        <v>111</v>
      </c>
      <c r="B30" s="80">
        <v>90</v>
      </c>
      <c r="C30" s="80">
        <v>100</v>
      </c>
      <c r="D30" s="80">
        <v>100</v>
      </c>
      <c r="E30" s="80">
        <v>100</v>
      </c>
      <c r="F30" s="80">
        <v>100</v>
      </c>
      <c r="G30" s="80">
        <v>100</v>
      </c>
      <c r="H30" s="80">
        <v>100</v>
      </c>
      <c r="I30" s="80">
        <v>100</v>
      </c>
      <c r="J30" s="80">
        <v>100</v>
      </c>
      <c r="K30" s="80">
        <v>100</v>
      </c>
      <c r="L30" s="84">
        <v>100</v>
      </c>
      <c r="M30" s="84">
        <v>100</v>
      </c>
      <c r="N30" s="84">
        <v>90</v>
      </c>
      <c r="O30" s="84">
        <v>100</v>
      </c>
      <c r="P30" s="84">
        <v>100</v>
      </c>
      <c r="Q30" s="84">
        <v>100</v>
      </c>
      <c r="R30" s="84">
        <v>100</v>
      </c>
      <c r="S30" s="80">
        <v>100</v>
      </c>
      <c r="T30" s="80">
        <v>20</v>
      </c>
      <c r="U30" s="80">
        <v>50</v>
      </c>
      <c r="V30" s="80">
        <v>100</v>
      </c>
      <c r="W30" s="80">
        <v>80</v>
      </c>
      <c r="X30" s="80">
        <v>100</v>
      </c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1">
        <v>100</v>
      </c>
      <c r="BE30" s="81">
        <v>100</v>
      </c>
      <c r="BF30" s="81">
        <v>100</v>
      </c>
      <c r="BG30" s="81">
        <v>80</v>
      </c>
      <c r="BH30" s="81">
        <v>100</v>
      </c>
      <c r="BI30" s="81">
        <v>100</v>
      </c>
    </row>
    <row r="31" spans="1:61" s="81" customFormat="1" ht="18.75" customHeight="1">
      <c r="A31" s="80" t="s">
        <v>112</v>
      </c>
      <c r="B31" s="80">
        <v>90</v>
      </c>
      <c r="C31" s="80">
        <v>100</v>
      </c>
      <c r="D31" s="80">
        <v>100</v>
      </c>
      <c r="E31" s="80">
        <v>100</v>
      </c>
      <c r="F31" s="80">
        <v>100</v>
      </c>
      <c r="G31" s="80">
        <v>100</v>
      </c>
      <c r="H31" s="80">
        <v>100</v>
      </c>
      <c r="I31" s="80">
        <v>100</v>
      </c>
      <c r="J31" s="80">
        <v>100</v>
      </c>
      <c r="K31" s="80">
        <v>90</v>
      </c>
      <c r="L31" s="84">
        <v>100</v>
      </c>
      <c r="M31" s="84">
        <v>100</v>
      </c>
      <c r="N31" s="84">
        <v>90</v>
      </c>
      <c r="O31" s="84">
        <v>100</v>
      </c>
      <c r="P31" s="84">
        <v>100</v>
      </c>
      <c r="Q31" s="84">
        <v>100</v>
      </c>
      <c r="R31" s="84">
        <v>100</v>
      </c>
      <c r="S31" s="80">
        <v>100</v>
      </c>
      <c r="T31" s="80">
        <v>80</v>
      </c>
      <c r="U31" s="80">
        <v>50</v>
      </c>
      <c r="V31" s="80">
        <v>100</v>
      </c>
      <c r="W31" s="80">
        <v>80</v>
      </c>
      <c r="X31" s="80">
        <v>100</v>
      </c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1">
        <v>100</v>
      </c>
      <c r="BE31" s="81">
        <v>100</v>
      </c>
      <c r="BF31" s="81">
        <v>100</v>
      </c>
      <c r="BG31" s="81">
        <v>80</v>
      </c>
      <c r="BH31" s="81">
        <v>100</v>
      </c>
      <c r="BI31" s="81">
        <v>100</v>
      </c>
    </row>
    <row r="32" spans="1:61" s="81" customFormat="1" ht="18.75" customHeight="1">
      <c r="A32" s="80" t="s">
        <v>113</v>
      </c>
      <c r="B32" s="80">
        <v>80</v>
      </c>
      <c r="C32" s="80">
        <v>100</v>
      </c>
      <c r="D32" s="80">
        <v>100</v>
      </c>
      <c r="E32" s="80">
        <v>100</v>
      </c>
      <c r="F32" s="80">
        <v>100</v>
      </c>
      <c r="G32" s="80">
        <v>100</v>
      </c>
      <c r="H32" s="80">
        <v>100</v>
      </c>
      <c r="I32" s="80">
        <v>100</v>
      </c>
      <c r="J32" s="80">
        <v>100</v>
      </c>
      <c r="K32" s="80">
        <v>100</v>
      </c>
      <c r="L32" s="84">
        <v>100</v>
      </c>
      <c r="M32" s="84">
        <v>100</v>
      </c>
      <c r="N32" s="84">
        <v>90</v>
      </c>
      <c r="O32" s="84">
        <v>100</v>
      </c>
      <c r="P32" s="84">
        <v>100</v>
      </c>
      <c r="Q32" s="84">
        <v>100</v>
      </c>
      <c r="R32" s="84">
        <v>100</v>
      </c>
      <c r="S32" s="80">
        <v>100</v>
      </c>
      <c r="T32" s="80">
        <v>80</v>
      </c>
      <c r="U32" s="80">
        <v>40</v>
      </c>
      <c r="V32" s="80">
        <v>100</v>
      </c>
      <c r="W32" s="80">
        <v>80</v>
      </c>
      <c r="X32" s="80">
        <v>100</v>
      </c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1">
        <v>100</v>
      </c>
      <c r="BE32" s="81">
        <v>100</v>
      </c>
      <c r="BF32" s="81">
        <v>100</v>
      </c>
      <c r="BG32" s="81">
        <v>80</v>
      </c>
      <c r="BH32" s="81">
        <v>100</v>
      </c>
      <c r="BI32" s="81">
        <v>100</v>
      </c>
    </row>
    <row r="33" spans="1:61" s="81" customFormat="1" ht="18.75" customHeight="1">
      <c r="A33" s="80" t="s">
        <v>114</v>
      </c>
      <c r="B33" s="80">
        <v>70</v>
      </c>
      <c r="C33" s="80">
        <v>100</v>
      </c>
      <c r="D33" s="80">
        <v>90</v>
      </c>
      <c r="E33" s="80">
        <v>70</v>
      </c>
      <c r="F33" s="80">
        <v>100</v>
      </c>
      <c r="G33" s="80">
        <v>100</v>
      </c>
      <c r="H33" s="80">
        <v>100</v>
      </c>
      <c r="I33" s="80">
        <v>100</v>
      </c>
      <c r="J33" s="80">
        <v>100</v>
      </c>
      <c r="K33" s="80">
        <v>100</v>
      </c>
      <c r="L33" s="84">
        <v>100</v>
      </c>
      <c r="M33" s="84">
        <v>100</v>
      </c>
      <c r="N33" s="84">
        <v>90</v>
      </c>
      <c r="O33" s="84">
        <v>100</v>
      </c>
      <c r="P33" s="84">
        <v>80</v>
      </c>
      <c r="Q33" s="84">
        <v>100</v>
      </c>
      <c r="R33" s="84">
        <v>100</v>
      </c>
      <c r="S33" s="80">
        <v>80</v>
      </c>
      <c r="T33" s="80">
        <v>50</v>
      </c>
      <c r="U33" s="80">
        <v>30</v>
      </c>
      <c r="V33" s="80">
        <v>100</v>
      </c>
      <c r="W33" s="80">
        <v>80</v>
      </c>
      <c r="X33" s="80">
        <v>100</v>
      </c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1">
        <v>100</v>
      </c>
      <c r="BE33" s="81">
        <v>100</v>
      </c>
      <c r="BF33" s="81">
        <v>100</v>
      </c>
      <c r="BG33" s="81">
        <v>80</v>
      </c>
      <c r="BH33" s="81">
        <v>100</v>
      </c>
      <c r="BI33" s="81">
        <v>100</v>
      </c>
    </row>
    <row r="34" spans="1:61" s="81" customFormat="1" ht="18.75" customHeight="1">
      <c r="A34" s="80" t="s">
        <v>115</v>
      </c>
      <c r="B34" s="80">
        <v>50</v>
      </c>
      <c r="C34" s="80">
        <v>100</v>
      </c>
      <c r="D34" s="80">
        <v>100</v>
      </c>
      <c r="E34" s="80">
        <v>100</v>
      </c>
      <c r="F34" s="80">
        <v>100</v>
      </c>
      <c r="G34" s="80">
        <v>100</v>
      </c>
      <c r="H34" s="80">
        <v>100</v>
      </c>
      <c r="I34" s="80">
        <v>100</v>
      </c>
      <c r="J34" s="80">
        <v>100</v>
      </c>
      <c r="K34" s="80">
        <v>100</v>
      </c>
      <c r="L34" s="84">
        <v>100</v>
      </c>
      <c r="M34" s="84">
        <v>100</v>
      </c>
      <c r="N34" s="84">
        <v>90</v>
      </c>
      <c r="O34" s="84">
        <v>100</v>
      </c>
      <c r="P34" s="84">
        <v>100</v>
      </c>
      <c r="Q34" s="84">
        <v>100</v>
      </c>
      <c r="R34" s="84">
        <v>100</v>
      </c>
      <c r="S34" s="80">
        <v>100</v>
      </c>
      <c r="T34" s="80">
        <v>50</v>
      </c>
      <c r="U34" s="80">
        <v>50</v>
      </c>
      <c r="V34" s="80">
        <v>100</v>
      </c>
      <c r="W34" s="80">
        <v>80</v>
      </c>
      <c r="X34" s="80">
        <v>100</v>
      </c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1">
        <v>100</v>
      </c>
      <c r="BE34" s="81">
        <v>100</v>
      </c>
      <c r="BF34" s="81">
        <v>100</v>
      </c>
      <c r="BG34" s="81">
        <v>80</v>
      </c>
      <c r="BH34" s="81">
        <v>70</v>
      </c>
      <c r="BI34" s="81">
        <v>100</v>
      </c>
    </row>
    <row r="35" spans="1:61" s="81" customFormat="1" ht="18.75" customHeight="1">
      <c r="A35" s="80" t="s">
        <v>116</v>
      </c>
      <c r="B35" s="80">
        <v>50</v>
      </c>
      <c r="C35" s="80">
        <v>100</v>
      </c>
      <c r="D35" s="80">
        <v>100</v>
      </c>
      <c r="E35" s="80">
        <v>90</v>
      </c>
      <c r="F35" s="80">
        <v>100</v>
      </c>
      <c r="G35" s="80">
        <v>100</v>
      </c>
      <c r="H35" s="80">
        <v>100</v>
      </c>
      <c r="I35" s="80">
        <v>100</v>
      </c>
      <c r="J35" s="80">
        <v>100</v>
      </c>
      <c r="K35" s="80">
        <v>100</v>
      </c>
      <c r="L35" s="84">
        <v>100</v>
      </c>
      <c r="M35" s="84">
        <v>100</v>
      </c>
      <c r="N35" s="84">
        <v>90</v>
      </c>
      <c r="O35" s="84">
        <v>100</v>
      </c>
      <c r="P35" s="84">
        <v>100</v>
      </c>
      <c r="Q35" s="84">
        <v>100</v>
      </c>
      <c r="R35" s="84">
        <v>100</v>
      </c>
      <c r="S35" s="80">
        <v>100</v>
      </c>
      <c r="T35" s="80">
        <v>50</v>
      </c>
      <c r="U35" s="80">
        <v>50</v>
      </c>
      <c r="V35" s="80">
        <v>100</v>
      </c>
      <c r="W35" s="80">
        <v>80</v>
      </c>
      <c r="X35" s="80">
        <v>100</v>
      </c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1">
        <v>100</v>
      </c>
      <c r="BE35" s="81">
        <v>100</v>
      </c>
      <c r="BF35" s="81">
        <v>100</v>
      </c>
      <c r="BG35" s="81">
        <v>80</v>
      </c>
      <c r="BH35" s="81">
        <v>70</v>
      </c>
      <c r="BI35" s="81">
        <v>100</v>
      </c>
    </row>
    <row r="36" spans="1:61" s="81" customFormat="1" ht="18.75" customHeight="1">
      <c r="A36" s="80" t="s">
        <v>117</v>
      </c>
      <c r="B36" s="80">
        <v>80</v>
      </c>
      <c r="C36" s="80">
        <v>100</v>
      </c>
      <c r="D36" s="80">
        <v>90</v>
      </c>
      <c r="E36" s="80">
        <v>100</v>
      </c>
      <c r="F36" s="80">
        <v>100</v>
      </c>
      <c r="G36" s="80">
        <v>100</v>
      </c>
      <c r="H36" s="80">
        <v>100</v>
      </c>
      <c r="I36" s="80">
        <v>100</v>
      </c>
      <c r="J36" s="80">
        <v>100</v>
      </c>
      <c r="K36" s="80">
        <v>100</v>
      </c>
      <c r="L36" s="84">
        <v>100</v>
      </c>
      <c r="M36" s="84">
        <v>100</v>
      </c>
      <c r="N36" s="84">
        <v>90</v>
      </c>
      <c r="O36" s="84">
        <v>100</v>
      </c>
      <c r="P36" s="84">
        <v>80</v>
      </c>
      <c r="Q36" s="84">
        <v>100</v>
      </c>
      <c r="R36" s="84">
        <v>100</v>
      </c>
      <c r="S36" s="80">
        <v>100</v>
      </c>
      <c r="T36" s="80">
        <v>80</v>
      </c>
      <c r="U36" s="80">
        <v>50</v>
      </c>
      <c r="V36" s="80">
        <v>100</v>
      </c>
      <c r="W36" s="80">
        <v>80</v>
      </c>
      <c r="X36" s="80">
        <v>100</v>
      </c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1">
        <v>100</v>
      </c>
      <c r="BE36" s="81">
        <v>100</v>
      </c>
      <c r="BF36" s="81">
        <v>100</v>
      </c>
      <c r="BG36" s="81">
        <v>80</v>
      </c>
      <c r="BH36" s="81">
        <v>100</v>
      </c>
      <c r="BI36" s="81">
        <v>100</v>
      </c>
    </row>
    <row r="37" spans="1:61" s="81" customFormat="1" ht="18.75" customHeight="1">
      <c r="A37" s="80" t="s">
        <v>118</v>
      </c>
      <c r="B37" s="80">
        <v>40</v>
      </c>
      <c r="C37" s="80">
        <v>100</v>
      </c>
      <c r="D37" s="80">
        <v>90</v>
      </c>
      <c r="E37" s="80">
        <v>100</v>
      </c>
      <c r="F37" s="80">
        <v>100</v>
      </c>
      <c r="G37" s="80">
        <v>100</v>
      </c>
      <c r="H37" s="80">
        <v>100</v>
      </c>
      <c r="I37" s="80">
        <v>100</v>
      </c>
      <c r="J37" s="80">
        <v>100</v>
      </c>
      <c r="K37" s="80">
        <v>90</v>
      </c>
      <c r="L37" s="84">
        <v>100</v>
      </c>
      <c r="M37" s="84">
        <v>100</v>
      </c>
      <c r="N37" s="84">
        <v>90</v>
      </c>
      <c r="O37" s="84">
        <v>100</v>
      </c>
      <c r="P37" s="84">
        <v>80</v>
      </c>
      <c r="Q37" s="84">
        <v>100</v>
      </c>
      <c r="R37" s="84">
        <v>100</v>
      </c>
      <c r="S37" s="80">
        <v>100</v>
      </c>
      <c r="T37" s="80">
        <v>20</v>
      </c>
      <c r="U37" s="80">
        <v>50</v>
      </c>
      <c r="V37" s="80">
        <v>100</v>
      </c>
      <c r="W37" s="80">
        <v>80</v>
      </c>
      <c r="X37" s="80">
        <v>100</v>
      </c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1">
        <v>80</v>
      </c>
      <c r="BE37" s="81">
        <v>100</v>
      </c>
      <c r="BF37" s="81">
        <v>100</v>
      </c>
      <c r="BG37" s="81">
        <v>70</v>
      </c>
      <c r="BH37" s="81">
        <v>60</v>
      </c>
      <c r="BI37" s="81">
        <v>70</v>
      </c>
    </row>
    <row r="38" spans="1:61" s="81" customFormat="1" ht="18.75" customHeight="1">
      <c r="A38" s="80" t="s">
        <v>119</v>
      </c>
      <c r="B38" s="80">
        <v>20</v>
      </c>
      <c r="C38" s="80">
        <v>100</v>
      </c>
      <c r="D38" s="80">
        <v>80</v>
      </c>
      <c r="E38" s="80">
        <v>60</v>
      </c>
      <c r="F38" s="80">
        <v>100</v>
      </c>
      <c r="G38" s="80">
        <v>100</v>
      </c>
      <c r="H38" s="80">
        <v>100</v>
      </c>
      <c r="I38" s="80">
        <v>100</v>
      </c>
      <c r="J38" s="80">
        <v>100</v>
      </c>
      <c r="K38" s="80">
        <v>90</v>
      </c>
      <c r="L38" s="84">
        <v>100</v>
      </c>
      <c r="M38" s="84">
        <v>50</v>
      </c>
      <c r="N38" s="84">
        <v>80</v>
      </c>
      <c r="O38" s="84">
        <v>100</v>
      </c>
      <c r="P38" s="84">
        <v>80</v>
      </c>
      <c r="Q38" s="84">
        <v>90</v>
      </c>
      <c r="R38" s="84">
        <v>100</v>
      </c>
      <c r="S38" s="80">
        <v>100</v>
      </c>
      <c r="T38" s="80">
        <v>20</v>
      </c>
      <c r="U38" s="80">
        <v>10</v>
      </c>
      <c r="V38" s="80">
        <v>80</v>
      </c>
      <c r="W38" s="80">
        <v>80</v>
      </c>
      <c r="X38" s="80">
        <v>90</v>
      </c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1">
        <v>80</v>
      </c>
      <c r="BE38" s="81">
        <v>100</v>
      </c>
      <c r="BF38" s="81">
        <v>100</v>
      </c>
      <c r="BG38" s="81">
        <v>50</v>
      </c>
      <c r="BH38" s="81">
        <v>40</v>
      </c>
      <c r="BI38" s="81">
        <v>70</v>
      </c>
    </row>
    <row r="39" spans="1:61" s="81" customFormat="1" ht="18.75" customHeight="1">
      <c r="A39" s="80" t="s">
        <v>120</v>
      </c>
      <c r="B39" s="80">
        <v>20</v>
      </c>
      <c r="C39" s="80">
        <v>100</v>
      </c>
      <c r="D39" s="80">
        <v>80</v>
      </c>
      <c r="E39" s="80">
        <v>60</v>
      </c>
      <c r="F39" s="80">
        <v>100</v>
      </c>
      <c r="G39" s="80">
        <v>100</v>
      </c>
      <c r="H39" s="80">
        <v>100</v>
      </c>
      <c r="I39" s="80">
        <v>100</v>
      </c>
      <c r="J39" s="80">
        <v>100</v>
      </c>
      <c r="K39" s="80">
        <v>90</v>
      </c>
      <c r="L39" s="84">
        <v>100</v>
      </c>
      <c r="M39" s="84">
        <v>50</v>
      </c>
      <c r="N39" s="84">
        <v>80</v>
      </c>
      <c r="O39" s="84">
        <v>100</v>
      </c>
      <c r="P39" s="84">
        <v>80</v>
      </c>
      <c r="Q39" s="84">
        <v>90</v>
      </c>
      <c r="R39" s="84">
        <v>100</v>
      </c>
      <c r="S39" s="80">
        <v>100</v>
      </c>
      <c r="T39" s="80">
        <v>20</v>
      </c>
      <c r="U39" s="80">
        <v>10</v>
      </c>
      <c r="V39" s="80">
        <v>80</v>
      </c>
      <c r="W39" s="80">
        <v>80</v>
      </c>
      <c r="X39" s="80">
        <v>90</v>
      </c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1">
        <f t="shared" ref="BD39:BI39" si="0">AVERAGE(BD23:BD38)</f>
        <v>97.5</v>
      </c>
      <c r="BE39" s="81">
        <f t="shared" si="0"/>
        <v>100</v>
      </c>
      <c r="BF39" s="81">
        <f t="shared" si="0"/>
        <v>100</v>
      </c>
      <c r="BG39" s="81">
        <f t="shared" si="0"/>
        <v>79.375</v>
      </c>
      <c r="BH39" s="81">
        <f t="shared" si="0"/>
        <v>77.5</v>
      </c>
      <c r="BI39" s="81">
        <f t="shared" si="0"/>
        <v>96.25</v>
      </c>
    </row>
    <row r="40" spans="1:61" s="81" customFormat="1" ht="18.75" customHeight="1">
      <c r="A40" s="80" t="s">
        <v>121</v>
      </c>
      <c r="B40" s="80">
        <v>3</v>
      </c>
      <c r="C40" s="80">
        <v>1</v>
      </c>
      <c r="D40" s="80">
        <v>1</v>
      </c>
      <c r="E40" s="80">
        <v>1</v>
      </c>
      <c r="F40" s="80">
        <v>1</v>
      </c>
      <c r="G40" s="80">
        <v>1</v>
      </c>
      <c r="H40" s="80">
        <v>1</v>
      </c>
      <c r="I40" s="80">
        <v>1</v>
      </c>
      <c r="J40" s="80">
        <v>1</v>
      </c>
      <c r="K40" s="80">
        <v>1</v>
      </c>
      <c r="L40" s="84">
        <v>1</v>
      </c>
      <c r="M40" s="84">
        <v>1</v>
      </c>
      <c r="N40" s="84">
        <v>1</v>
      </c>
      <c r="O40" s="84">
        <v>1</v>
      </c>
      <c r="P40" s="84">
        <v>1</v>
      </c>
      <c r="Q40" s="84">
        <v>1</v>
      </c>
      <c r="R40" s="84">
        <v>1</v>
      </c>
      <c r="S40" s="80">
        <v>2</v>
      </c>
      <c r="T40" s="80">
        <v>2</v>
      </c>
      <c r="U40" s="80">
        <v>3</v>
      </c>
      <c r="V40" s="80">
        <v>1</v>
      </c>
      <c r="W40" s="80">
        <v>2</v>
      </c>
      <c r="X40" s="80">
        <v>1</v>
      </c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1">
        <v>1</v>
      </c>
      <c r="BE40" s="81">
        <v>1</v>
      </c>
      <c r="BF40" s="81">
        <v>1</v>
      </c>
      <c r="BG40" s="81">
        <v>2</v>
      </c>
      <c r="BH40" s="81">
        <v>4</v>
      </c>
      <c r="BI40" s="81">
        <v>1</v>
      </c>
    </row>
    <row r="41" spans="1:61" s="81" customFormat="1" ht="18.75" customHeight="1">
      <c r="A41" s="80" t="s">
        <v>122</v>
      </c>
      <c r="B41" s="80">
        <v>2</v>
      </c>
      <c r="C41" s="80">
        <v>1</v>
      </c>
      <c r="D41" s="80">
        <v>1</v>
      </c>
      <c r="E41" s="80">
        <v>1</v>
      </c>
      <c r="F41" s="80">
        <v>1</v>
      </c>
      <c r="G41" s="80">
        <v>1</v>
      </c>
      <c r="H41" s="80">
        <v>1</v>
      </c>
      <c r="I41" s="80">
        <v>1</v>
      </c>
      <c r="J41" s="80">
        <v>1</v>
      </c>
      <c r="K41" s="80">
        <v>1</v>
      </c>
      <c r="L41" s="84">
        <v>1</v>
      </c>
      <c r="M41" s="84">
        <v>1</v>
      </c>
      <c r="N41" s="84">
        <v>2</v>
      </c>
      <c r="O41" s="84">
        <v>1</v>
      </c>
      <c r="P41" s="84">
        <v>1</v>
      </c>
      <c r="Q41" s="84">
        <v>1</v>
      </c>
      <c r="R41" s="84">
        <v>1</v>
      </c>
      <c r="S41" s="80">
        <v>1</v>
      </c>
      <c r="T41" s="80">
        <v>1</v>
      </c>
      <c r="U41" s="80">
        <v>3</v>
      </c>
      <c r="V41" s="80">
        <v>1</v>
      </c>
      <c r="W41" s="80">
        <v>1</v>
      </c>
      <c r="X41" s="80">
        <v>1</v>
      </c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1">
        <v>1</v>
      </c>
      <c r="BE41" s="81">
        <v>1</v>
      </c>
      <c r="BF41" s="81">
        <v>1</v>
      </c>
      <c r="BG41" s="81">
        <v>1</v>
      </c>
      <c r="BH41" s="81">
        <v>1</v>
      </c>
      <c r="BI41" s="81">
        <v>1</v>
      </c>
    </row>
    <row r="42" spans="1:61" s="81" customFormat="1" ht="18.75" customHeight="1">
      <c r="A42" s="80" t="s">
        <v>123</v>
      </c>
      <c r="B42" s="80">
        <v>1</v>
      </c>
      <c r="C42" s="80">
        <v>1</v>
      </c>
      <c r="D42" s="80">
        <v>1</v>
      </c>
      <c r="E42" s="80">
        <v>1</v>
      </c>
      <c r="F42" s="80">
        <v>1</v>
      </c>
      <c r="G42" s="80">
        <v>1</v>
      </c>
      <c r="H42" s="80">
        <v>1</v>
      </c>
      <c r="I42" s="80">
        <v>1</v>
      </c>
      <c r="J42" s="80">
        <v>1</v>
      </c>
      <c r="K42" s="80">
        <v>1</v>
      </c>
      <c r="L42" s="84">
        <v>1</v>
      </c>
      <c r="M42" s="84">
        <v>1</v>
      </c>
      <c r="N42" s="84">
        <v>1</v>
      </c>
      <c r="O42" s="84">
        <v>1</v>
      </c>
      <c r="P42" s="84">
        <v>1</v>
      </c>
      <c r="Q42" s="84">
        <v>1</v>
      </c>
      <c r="R42" s="84">
        <v>1</v>
      </c>
      <c r="S42" s="80">
        <v>1</v>
      </c>
      <c r="T42" s="80">
        <v>1</v>
      </c>
      <c r="U42" s="80">
        <v>3</v>
      </c>
      <c r="V42" s="80">
        <v>1</v>
      </c>
      <c r="W42" s="80">
        <v>2</v>
      </c>
      <c r="X42" s="80">
        <v>1</v>
      </c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1">
        <v>1</v>
      </c>
      <c r="BE42" s="81">
        <v>1</v>
      </c>
      <c r="BF42" s="81">
        <v>1</v>
      </c>
      <c r="BG42" s="81">
        <v>1</v>
      </c>
      <c r="BH42" s="81">
        <v>2</v>
      </c>
      <c r="BI42" s="81">
        <v>1</v>
      </c>
    </row>
    <row r="43" spans="1:61" s="81" customFormat="1" ht="18.75" customHeight="1">
      <c r="A43" s="80" t="s">
        <v>124</v>
      </c>
      <c r="B43" s="80">
        <v>1</v>
      </c>
      <c r="C43" s="80">
        <v>1</v>
      </c>
      <c r="D43" s="80">
        <v>1</v>
      </c>
      <c r="E43" s="80">
        <v>1</v>
      </c>
      <c r="F43" s="80">
        <v>1</v>
      </c>
      <c r="G43" s="80">
        <v>1</v>
      </c>
      <c r="H43" s="80">
        <v>1</v>
      </c>
      <c r="I43" s="80">
        <v>1</v>
      </c>
      <c r="J43" s="80">
        <v>1</v>
      </c>
      <c r="K43" s="80">
        <v>1</v>
      </c>
      <c r="L43" s="84">
        <v>1</v>
      </c>
      <c r="M43" s="84">
        <v>1</v>
      </c>
      <c r="N43" s="84">
        <v>1</v>
      </c>
      <c r="O43" s="84">
        <v>1</v>
      </c>
      <c r="P43" s="84">
        <v>1</v>
      </c>
      <c r="Q43" s="84">
        <v>1</v>
      </c>
      <c r="R43" s="84">
        <v>1</v>
      </c>
      <c r="S43" s="80">
        <v>1</v>
      </c>
      <c r="T43" s="80">
        <v>1</v>
      </c>
      <c r="U43" s="80">
        <v>3</v>
      </c>
      <c r="V43" s="80">
        <v>1</v>
      </c>
      <c r="W43" s="80">
        <v>2</v>
      </c>
      <c r="X43" s="80">
        <v>1</v>
      </c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1">
        <v>1</v>
      </c>
      <c r="BE43" s="81">
        <v>1</v>
      </c>
      <c r="BF43" s="81">
        <v>1</v>
      </c>
      <c r="BG43" s="81">
        <v>1</v>
      </c>
      <c r="BH43" s="81">
        <v>2</v>
      </c>
      <c r="BI43" s="81">
        <v>1</v>
      </c>
    </row>
    <row r="44" spans="1:61" s="81" customFormat="1" ht="18.75" customHeight="1">
      <c r="A44" s="80" t="s">
        <v>125</v>
      </c>
      <c r="B44" s="80">
        <v>2</v>
      </c>
      <c r="C44" s="80">
        <v>1</v>
      </c>
      <c r="D44" s="80">
        <v>1</v>
      </c>
      <c r="E44" s="80">
        <v>1</v>
      </c>
      <c r="F44" s="80">
        <v>1</v>
      </c>
      <c r="G44" s="80">
        <v>1</v>
      </c>
      <c r="H44" s="80">
        <v>1</v>
      </c>
      <c r="I44" s="80">
        <v>1</v>
      </c>
      <c r="J44" s="80">
        <v>1</v>
      </c>
      <c r="K44" s="80">
        <v>1</v>
      </c>
      <c r="L44" s="84">
        <v>1</v>
      </c>
      <c r="M44" s="84">
        <v>1</v>
      </c>
      <c r="N44" s="84">
        <v>1</v>
      </c>
      <c r="O44" s="84">
        <v>1</v>
      </c>
      <c r="P44" s="84">
        <v>1</v>
      </c>
      <c r="Q44" s="84">
        <v>1</v>
      </c>
      <c r="R44" s="84">
        <v>1</v>
      </c>
      <c r="S44" s="80">
        <v>1</v>
      </c>
      <c r="T44" s="80">
        <v>2</v>
      </c>
      <c r="U44" s="80">
        <v>3</v>
      </c>
      <c r="V44" s="80">
        <v>1</v>
      </c>
      <c r="W44" s="80">
        <v>2</v>
      </c>
      <c r="X44" s="80">
        <v>1</v>
      </c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1">
        <v>1</v>
      </c>
      <c r="BE44" s="81">
        <v>1</v>
      </c>
      <c r="BF44" s="81">
        <v>1</v>
      </c>
      <c r="BG44" s="81">
        <v>2</v>
      </c>
      <c r="BH44" s="81">
        <v>3</v>
      </c>
      <c r="BI44" s="81">
        <v>1</v>
      </c>
    </row>
    <row r="45" spans="1:61" s="81" customFormat="1" ht="18.75" customHeight="1">
      <c r="A45" s="80" t="s">
        <v>126</v>
      </c>
      <c r="B45" s="80">
        <v>2</v>
      </c>
      <c r="C45" s="80">
        <v>1</v>
      </c>
      <c r="D45" s="80">
        <v>1</v>
      </c>
      <c r="E45" s="80">
        <v>1</v>
      </c>
      <c r="F45" s="80">
        <v>1</v>
      </c>
      <c r="G45" s="80">
        <v>1</v>
      </c>
      <c r="H45" s="80">
        <v>1</v>
      </c>
      <c r="I45" s="80">
        <v>1</v>
      </c>
      <c r="J45" s="80">
        <v>1</v>
      </c>
      <c r="K45" s="80">
        <v>1</v>
      </c>
      <c r="L45" s="84">
        <v>1</v>
      </c>
      <c r="M45" s="84">
        <v>1</v>
      </c>
      <c r="N45" s="84">
        <v>2</v>
      </c>
      <c r="O45" s="84">
        <v>1</v>
      </c>
      <c r="P45" s="84">
        <v>1</v>
      </c>
      <c r="Q45" s="84">
        <v>1</v>
      </c>
      <c r="R45" s="84">
        <v>1</v>
      </c>
      <c r="S45" s="80">
        <v>1</v>
      </c>
      <c r="T45" s="80">
        <v>3</v>
      </c>
      <c r="U45" s="80">
        <v>2</v>
      </c>
      <c r="V45" s="80">
        <v>1</v>
      </c>
      <c r="W45" s="80">
        <v>1</v>
      </c>
      <c r="X45" s="80">
        <v>1</v>
      </c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1">
        <v>1</v>
      </c>
      <c r="BE45" s="81">
        <v>1</v>
      </c>
      <c r="BF45" s="81">
        <v>1</v>
      </c>
      <c r="BG45" s="81">
        <v>2</v>
      </c>
      <c r="BH45" s="81">
        <v>2</v>
      </c>
      <c r="BI45" s="81">
        <v>1</v>
      </c>
    </row>
    <row r="46" spans="1:61" s="81" customFormat="1" ht="18.75" customHeight="1">
      <c r="A46" s="80" t="s">
        <v>127</v>
      </c>
      <c r="B46" s="80">
        <v>3</v>
      </c>
      <c r="C46" s="80">
        <v>1</v>
      </c>
      <c r="D46" s="80">
        <v>1</v>
      </c>
      <c r="E46" s="80">
        <v>1</v>
      </c>
      <c r="F46" s="80">
        <v>1</v>
      </c>
      <c r="G46" s="80">
        <v>1</v>
      </c>
      <c r="H46" s="80">
        <v>1</v>
      </c>
      <c r="I46" s="80">
        <v>1</v>
      </c>
      <c r="J46" s="80">
        <v>1</v>
      </c>
      <c r="K46" s="80">
        <v>1</v>
      </c>
      <c r="L46" s="84">
        <v>1</v>
      </c>
      <c r="M46" s="84">
        <v>2</v>
      </c>
      <c r="N46" s="84">
        <v>2</v>
      </c>
      <c r="O46" s="84">
        <v>1</v>
      </c>
      <c r="P46" s="84">
        <v>1</v>
      </c>
      <c r="Q46" s="84">
        <v>1</v>
      </c>
      <c r="R46" s="84">
        <v>1</v>
      </c>
      <c r="S46" s="80">
        <v>1</v>
      </c>
      <c r="T46" s="80">
        <v>3</v>
      </c>
      <c r="U46" s="80">
        <v>2</v>
      </c>
      <c r="V46" s="80">
        <v>1</v>
      </c>
      <c r="W46" s="80">
        <v>2</v>
      </c>
      <c r="X46" s="80">
        <v>2</v>
      </c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1">
        <v>1</v>
      </c>
      <c r="BE46" s="81">
        <v>1</v>
      </c>
      <c r="BF46" s="81">
        <v>1</v>
      </c>
      <c r="BG46" s="81">
        <v>2</v>
      </c>
      <c r="BH46" s="81">
        <v>4</v>
      </c>
      <c r="BI46" s="81">
        <v>1</v>
      </c>
    </row>
    <row r="47" spans="1:61" s="81" customFormat="1" ht="18.75" customHeight="1">
      <c r="A47" s="80" t="s">
        <v>128</v>
      </c>
      <c r="B47" s="80">
        <v>3</v>
      </c>
      <c r="C47" s="80">
        <v>1</v>
      </c>
      <c r="D47" s="80">
        <v>1</v>
      </c>
      <c r="E47" s="80">
        <v>2</v>
      </c>
      <c r="F47" s="80">
        <v>1</v>
      </c>
      <c r="G47" s="80">
        <v>1</v>
      </c>
      <c r="H47" s="80">
        <v>1</v>
      </c>
      <c r="I47" s="80">
        <v>1</v>
      </c>
      <c r="J47" s="80">
        <v>1</v>
      </c>
      <c r="K47" s="80">
        <v>1</v>
      </c>
      <c r="L47" s="84">
        <v>1</v>
      </c>
      <c r="M47" s="84">
        <v>1</v>
      </c>
      <c r="N47" s="84">
        <v>1</v>
      </c>
      <c r="O47" s="84">
        <v>1</v>
      </c>
      <c r="P47" s="84">
        <v>1</v>
      </c>
      <c r="Q47" s="84">
        <v>1</v>
      </c>
      <c r="R47" s="84">
        <v>1</v>
      </c>
      <c r="S47" s="80">
        <v>1</v>
      </c>
      <c r="T47" s="80">
        <v>2</v>
      </c>
      <c r="U47" s="80">
        <v>2</v>
      </c>
      <c r="V47" s="80">
        <v>1</v>
      </c>
      <c r="W47" s="80">
        <v>2</v>
      </c>
      <c r="X47" s="80">
        <v>1</v>
      </c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1">
        <v>1</v>
      </c>
      <c r="BE47" s="81">
        <v>1</v>
      </c>
      <c r="BF47" s="81">
        <v>1</v>
      </c>
      <c r="BG47" s="81">
        <v>1</v>
      </c>
      <c r="BH47" s="81">
        <v>4</v>
      </c>
      <c r="BI47" s="81">
        <v>1</v>
      </c>
    </row>
    <row r="48" spans="1:61" s="81" customFormat="1" ht="18.75" customHeight="1">
      <c r="A48" s="80" t="s">
        <v>129</v>
      </c>
      <c r="B48" s="80">
        <v>3</v>
      </c>
      <c r="C48" s="80">
        <v>1</v>
      </c>
      <c r="D48" s="80">
        <v>2</v>
      </c>
      <c r="E48" s="80">
        <v>1</v>
      </c>
      <c r="F48" s="80">
        <v>1</v>
      </c>
      <c r="G48" s="80">
        <v>1</v>
      </c>
      <c r="H48" s="80">
        <v>1</v>
      </c>
      <c r="I48" s="80">
        <v>1</v>
      </c>
      <c r="J48" s="80">
        <v>1</v>
      </c>
      <c r="K48" s="80">
        <v>1</v>
      </c>
      <c r="L48" s="84">
        <v>1</v>
      </c>
      <c r="M48" s="84">
        <v>2</v>
      </c>
      <c r="N48" s="84">
        <v>2</v>
      </c>
      <c r="O48" s="84">
        <v>1</v>
      </c>
      <c r="P48" s="84">
        <v>1</v>
      </c>
      <c r="Q48" s="84">
        <v>1</v>
      </c>
      <c r="R48" s="84">
        <v>1</v>
      </c>
      <c r="S48" s="80">
        <v>1</v>
      </c>
      <c r="T48" s="80">
        <v>2</v>
      </c>
      <c r="U48" s="80">
        <v>2</v>
      </c>
      <c r="V48" s="80">
        <v>1</v>
      </c>
      <c r="W48" s="80">
        <v>2</v>
      </c>
      <c r="X48" s="80">
        <v>1</v>
      </c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1">
        <v>1</v>
      </c>
      <c r="BE48" s="81">
        <v>1</v>
      </c>
      <c r="BF48" s="81">
        <v>1</v>
      </c>
      <c r="BG48" s="81">
        <v>1</v>
      </c>
      <c r="BH48" s="81">
        <v>1</v>
      </c>
      <c r="BI48" s="81">
        <v>1</v>
      </c>
    </row>
    <row r="49" spans="1:61" s="81" customFormat="1" ht="18.75" customHeight="1">
      <c r="A49" s="80" t="s">
        <v>130</v>
      </c>
      <c r="B49" s="80">
        <v>2</v>
      </c>
      <c r="C49" s="80">
        <v>1</v>
      </c>
      <c r="D49" s="80">
        <v>1</v>
      </c>
      <c r="E49" s="80">
        <v>1</v>
      </c>
      <c r="F49" s="80">
        <v>1</v>
      </c>
      <c r="G49" s="80">
        <v>1</v>
      </c>
      <c r="H49" s="80">
        <v>1</v>
      </c>
      <c r="I49" s="80">
        <v>1</v>
      </c>
      <c r="J49" s="80">
        <v>1</v>
      </c>
      <c r="K49" s="80">
        <v>1</v>
      </c>
      <c r="L49" s="84">
        <v>1</v>
      </c>
      <c r="M49" s="84">
        <v>1</v>
      </c>
      <c r="N49" s="84">
        <v>1</v>
      </c>
      <c r="O49" s="84">
        <v>1</v>
      </c>
      <c r="P49" s="84">
        <v>1</v>
      </c>
      <c r="Q49" s="84">
        <v>1</v>
      </c>
      <c r="R49" s="84">
        <v>1</v>
      </c>
      <c r="S49" s="80">
        <v>1</v>
      </c>
      <c r="T49" s="80">
        <v>2</v>
      </c>
      <c r="U49" s="80">
        <v>2</v>
      </c>
      <c r="V49" s="80">
        <v>1</v>
      </c>
      <c r="W49" s="80">
        <v>1</v>
      </c>
      <c r="X49" s="80">
        <v>1</v>
      </c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1">
        <v>1</v>
      </c>
      <c r="BE49" s="81">
        <v>1</v>
      </c>
      <c r="BF49" s="81">
        <v>1</v>
      </c>
      <c r="BG49" s="81">
        <v>1</v>
      </c>
      <c r="BH49" s="81">
        <v>2</v>
      </c>
      <c r="BI49" s="81">
        <v>1</v>
      </c>
    </row>
    <row r="50" spans="1:61" s="81" customFormat="1" ht="18.75" customHeight="1">
      <c r="A50" s="80" t="s">
        <v>131</v>
      </c>
      <c r="B50" s="80">
        <v>3</v>
      </c>
      <c r="C50" s="80">
        <v>1</v>
      </c>
      <c r="D50" s="80">
        <v>2</v>
      </c>
      <c r="E50" s="80">
        <v>1</v>
      </c>
      <c r="F50" s="80">
        <v>1</v>
      </c>
      <c r="G50" s="80">
        <v>1</v>
      </c>
      <c r="H50" s="80">
        <v>1</v>
      </c>
      <c r="I50" s="80">
        <v>1</v>
      </c>
      <c r="J50" s="80">
        <v>1</v>
      </c>
      <c r="K50" s="80">
        <v>2</v>
      </c>
      <c r="L50" s="84">
        <v>1</v>
      </c>
      <c r="M50" s="84">
        <v>2</v>
      </c>
      <c r="N50" s="84">
        <v>2</v>
      </c>
      <c r="O50" s="84">
        <v>1</v>
      </c>
      <c r="P50" s="84">
        <v>1</v>
      </c>
      <c r="Q50" s="84">
        <v>1</v>
      </c>
      <c r="R50" s="84">
        <v>1</v>
      </c>
      <c r="S50" s="80">
        <v>1</v>
      </c>
      <c r="T50" s="80">
        <v>4</v>
      </c>
      <c r="U50" s="80">
        <v>4</v>
      </c>
      <c r="V50" s="80">
        <v>2</v>
      </c>
      <c r="W50" s="80">
        <v>2</v>
      </c>
      <c r="X50" s="80">
        <v>2</v>
      </c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1">
        <v>1</v>
      </c>
      <c r="BE50" s="81">
        <v>1</v>
      </c>
      <c r="BF50" s="81">
        <v>1</v>
      </c>
      <c r="BG50" s="81">
        <v>3</v>
      </c>
      <c r="BH50" s="81">
        <v>3</v>
      </c>
      <c r="BI50" s="81">
        <v>1</v>
      </c>
    </row>
    <row r="51" spans="1:61" s="81" customFormat="1" ht="18.75" customHeight="1">
      <c r="A51" s="80" t="s">
        <v>132</v>
      </c>
      <c r="B51" s="80">
        <v>1</v>
      </c>
      <c r="C51" s="80">
        <v>1</v>
      </c>
      <c r="D51" s="80">
        <v>1</v>
      </c>
      <c r="E51" s="80">
        <v>1</v>
      </c>
      <c r="F51" s="80">
        <v>1</v>
      </c>
      <c r="G51" s="80">
        <v>1</v>
      </c>
      <c r="H51" s="80">
        <v>1</v>
      </c>
      <c r="I51" s="80">
        <v>1</v>
      </c>
      <c r="J51" s="80">
        <v>1</v>
      </c>
      <c r="K51" s="80">
        <v>1</v>
      </c>
      <c r="L51" s="84">
        <v>1</v>
      </c>
      <c r="M51" s="84">
        <v>1</v>
      </c>
      <c r="N51" s="84">
        <v>1</v>
      </c>
      <c r="O51" s="84">
        <v>1</v>
      </c>
      <c r="P51" s="84">
        <v>1</v>
      </c>
      <c r="Q51" s="84">
        <v>1</v>
      </c>
      <c r="R51" s="84">
        <v>1</v>
      </c>
      <c r="S51" s="80">
        <v>1</v>
      </c>
      <c r="T51" s="80">
        <v>2</v>
      </c>
      <c r="U51" s="80">
        <v>2</v>
      </c>
      <c r="V51" s="80">
        <v>1</v>
      </c>
      <c r="W51" s="80">
        <v>1</v>
      </c>
      <c r="X51" s="80">
        <v>1</v>
      </c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1">
        <v>1</v>
      </c>
      <c r="BE51" s="81">
        <v>1</v>
      </c>
      <c r="BF51" s="81">
        <v>1</v>
      </c>
      <c r="BG51" s="81">
        <v>2</v>
      </c>
      <c r="BH51" s="81">
        <v>2</v>
      </c>
      <c r="BI51" s="81">
        <v>1</v>
      </c>
    </row>
    <row r="52" spans="1:61" s="81" customFormat="1" ht="18.75" customHeight="1">
      <c r="A52" s="80" t="s">
        <v>133</v>
      </c>
      <c r="B52" s="80">
        <v>2</v>
      </c>
      <c r="C52" s="80">
        <v>1</v>
      </c>
      <c r="D52" s="80">
        <v>1</v>
      </c>
      <c r="E52" s="80">
        <v>1</v>
      </c>
      <c r="F52" s="80">
        <v>1</v>
      </c>
      <c r="G52" s="80">
        <v>1</v>
      </c>
      <c r="H52" s="80">
        <v>1</v>
      </c>
      <c r="I52" s="80">
        <v>1</v>
      </c>
      <c r="J52" s="80">
        <v>1</v>
      </c>
      <c r="K52" s="80">
        <v>1</v>
      </c>
      <c r="L52" s="84">
        <v>1</v>
      </c>
      <c r="M52" s="84">
        <v>1</v>
      </c>
      <c r="N52" s="84">
        <v>1</v>
      </c>
      <c r="O52" s="84">
        <v>1</v>
      </c>
      <c r="P52" s="84">
        <v>1</v>
      </c>
      <c r="Q52" s="84">
        <v>1</v>
      </c>
      <c r="R52" s="84">
        <v>1</v>
      </c>
      <c r="S52" s="80">
        <v>1</v>
      </c>
      <c r="T52" s="80">
        <v>2</v>
      </c>
      <c r="U52" s="80">
        <v>2</v>
      </c>
      <c r="V52" s="80">
        <v>1</v>
      </c>
      <c r="W52" s="80">
        <v>2</v>
      </c>
      <c r="X52" s="80">
        <v>1</v>
      </c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1">
        <v>1</v>
      </c>
      <c r="BE52" s="81">
        <v>1</v>
      </c>
      <c r="BF52" s="81">
        <v>1</v>
      </c>
      <c r="BG52" s="81">
        <v>2</v>
      </c>
      <c r="BH52" s="81">
        <v>4</v>
      </c>
      <c r="BI52" s="81">
        <v>1</v>
      </c>
    </row>
    <row r="53" spans="1:61" s="81" customFormat="1" ht="18.75" customHeight="1">
      <c r="A53" s="80" t="s">
        <v>134</v>
      </c>
      <c r="B53" s="80">
        <v>2</v>
      </c>
      <c r="C53" s="80">
        <v>1</v>
      </c>
      <c r="D53" s="80">
        <v>2</v>
      </c>
      <c r="E53" s="80">
        <v>2</v>
      </c>
      <c r="F53" s="80">
        <v>1</v>
      </c>
      <c r="G53" s="80">
        <v>1</v>
      </c>
      <c r="H53" s="80">
        <v>1</v>
      </c>
      <c r="I53" s="80">
        <v>1</v>
      </c>
      <c r="J53" s="80">
        <v>1</v>
      </c>
      <c r="K53" s="80">
        <v>1</v>
      </c>
      <c r="L53" s="84">
        <v>1</v>
      </c>
      <c r="M53" s="84">
        <v>1</v>
      </c>
      <c r="N53" s="84">
        <v>2</v>
      </c>
      <c r="O53" s="84">
        <v>1</v>
      </c>
      <c r="P53" s="84">
        <v>1</v>
      </c>
      <c r="Q53" s="84">
        <v>1</v>
      </c>
      <c r="R53" s="84">
        <v>1</v>
      </c>
      <c r="S53" s="80">
        <v>1</v>
      </c>
      <c r="T53" s="80">
        <v>2</v>
      </c>
      <c r="U53" s="80">
        <v>2</v>
      </c>
      <c r="V53" s="80">
        <v>1</v>
      </c>
      <c r="W53" s="80">
        <v>1</v>
      </c>
      <c r="X53" s="80">
        <v>1</v>
      </c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1">
        <v>1</v>
      </c>
      <c r="BE53" s="81">
        <v>1</v>
      </c>
      <c r="BF53" s="81">
        <v>1</v>
      </c>
      <c r="BG53" s="81">
        <v>2</v>
      </c>
      <c r="BH53" s="81">
        <v>4</v>
      </c>
      <c r="BI53" s="81">
        <v>1</v>
      </c>
    </row>
    <row r="54" spans="1:61" s="81" customFormat="1" ht="18.75" customHeight="1">
      <c r="A54" s="80" t="s">
        <v>135</v>
      </c>
      <c r="B54" s="80">
        <v>2</v>
      </c>
      <c r="C54" s="80">
        <v>1</v>
      </c>
      <c r="D54" s="80">
        <v>2</v>
      </c>
      <c r="E54" s="80">
        <v>2</v>
      </c>
      <c r="F54" s="80">
        <v>1</v>
      </c>
      <c r="G54" s="80">
        <v>1</v>
      </c>
      <c r="H54" s="80">
        <v>1</v>
      </c>
      <c r="I54" s="80">
        <v>1</v>
      </c>
      <c r="J54" s="80">
        <v>1</v>
      </c>
      <c r="K54" s="80">
        <v>1</v>
      </c>
      <c r="L54" s="84">
        <v>1</v>
      </c>
      <c r="M54" s="84">
        <v>2</v>
      </c>
      <c r="N54" s="84">
        <v>2</v>
      </c>
      <c r="O54" s="84">
        <v>1</v>
      </c>
      <c r="P54" s="84">
        <v>1</v>
      </c>
      <c r="Q54" s="84">
        <v>1</v>
      </c>
      <c r="R54" s="84">
        <v>1</v>
      </c>
      <c r="S54" s="80">
        <v>1</v>
      </c>
      <c r="T54" s="80">
        <v>3</v>
      </c>
      <c r="U54" s="80">
        <v>2</v>
      </c>
      <c r="V54" s="80">
        <v>1</v>
      </c>
      <c r="W54" s="80">
        <v>2</v>
      </c>
      <c r="X54" s="80">
        <v>1</v>
      </c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1">
        <v>1</v>
      </c>
      <c r="BE54" s="81">
        <v>1</v>
      </c>
      <c r="BF54" s="81">
        <v>1</v>
      </c>
      <c r="BG54" s="81">
        <v>2</v>
      </c>
      <c r="BH54" s="81">
        <v>4</v>
      </c>
      <c r="BI54" s="81">
        <v>1</v>
      </c>
    </row>
    <row r="55" spans="1:61" s="81" customFormat="1" ht="18.75" customHeight="1">
      <c r="A55" s="80" t="s">
        <v>136</v>
      </c>
      <c r="B55" s="80">
        <v>2</v>
      </c>
      <c r="C55" s="80">
        <v>1</v>
      </c>
      <c r="D55" s="80">
        <v>1</v>
      </c>
      <c r="E55" s="80">
        <v>1</v>
      </c>
      <c r="F55" s="80">
        <v>1</v>
      </c>
      <c r="G55" s="80">
        <v>1</v>
      </c>
      <c r="H55" s="80">
        <v>1</v>
      </c>
      <c r="I55" s="80">
        <v>1</v>
      </c>
      <c r="J55" s="80">
        <v>1</v>
      </c>
      <c r="K55" s="80">
        <v>1</v>
      </c>
      <c r="L55" s="84">
        <v>1</v>
      </c>
      <c r="M55" s="84">
        <v>1</v>
      </c>
      <c r="N55" s="84">
        <v>1</v>
      </c>
      <c r="O55" s="84">
        <v>1</v>
      </c>
      <c r="P55" s="84">
        <v>1</v>
      </c>
      <c r="Q55" s="84">
        <v>1</v>
      </c>
      <c r="R55" s="84">
        <v>1</v>
      </c>
      <c r="S55" s="80">
        <v>1</v>
      </c>
      <c r="T55" s="80">
        <v>2</v>
      </c>
      <c r="U55" s="80">
        <v>2</v>
      </c>
      <c r="V55" s="80">
        <v>1</v>
      </c>
      <c r="W55" s="80">
        <v>2</v>
      </c>
      <c r="X55" s="80">
        <v>1</v>
      </c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1">
        <v>1</v>
      </c>
      <c r="BE55" s="81">
        <v>1</v>
      </c>
      <c r="BF55" s="81">
        <v>1</v>
      </c>
      <c r="BG55" s="81">
        <v>2</v>
      </c>
      <c r="BH55" s="81">
        <v>2</v>
      </c>
      <c r="BI55" s="81">
        <v>1</v>
      </c>
    </row>
    <row r="56" spans="1:61" s="81" customFormat="1" ht="18.75" customHeight="1">
      <c r="A56" s="80" t="s">
        <v>137</v>
      </c>
      <c r="B56" s="80">
        <f>SUM(B40:B55)</f>
        <v>34</v>
      </c>
      <c r="C56" s="80">
        <f t="shared" ref="C56:AB56" si="1">SUM(C40:C55)</f>
        <v>16</v>
      </c>
      <c r="D56" s="80">
        <f t="shared" si="1"/>
        <v>20</v>
      </c>
      <c r="E56" s="80">
        <f t="shared" si="1"/>
        <v>19</v>
      </c>
      <c r="F56" s="80">
        <f t="shared" si="1"/>
        <v>16</v>
      </c>
      <c r="G56" s="80">
        <f t="shared" si="1"/>
        <v>16</v>
      </c>
      <c r="H56" s="80">
        <f t="shared" si="1"/>
        <v>16</v>
      </c>
      <c r="I56" s="80">
        <f t="shared" si="1"/>
        <v>16</v>
      </c>
      <c r="J56" s="80">
        <f t="shared" si="1"/>
        <v>16</v>
      </c>
      <c r="K56" s="80">
        <f t="shared" si="1"/>
        <v>17</v>
      </c>
      <c r="L56" s="84">
        <f t="shared" si="1"/>
        <v>16</v>
      </c>
      <c r="M56" s="84">
        <f t="shared" si="1"/>
        <v>20</v>
      </c>
      <c r="N56" s="84">
        <f t="shared" si="1"/>
        <v>23</v>
      </c>
      <c r="O56" s="84">
        <f t="shared" si="1"/>
        <v>16</v>
      </c>
      <c r="P56" s="84">
        <f t="shared" si="1"/>
        <v>16</v>
      </c>
      <c r="Q56" s="84">
        <f t="shared" si="1"/>
        <v>16</v>
      </c>
      <c r="R56" s="84">
        <f t="shared" si="1"/>
        <v>16</v>
      </c>
      <c r="S56" s="80">
        <f t="shared" si="1"/>
        <v>17</v>
      </c>
      <c r="T56" s="80">
        <f t="shared" si="1"/>
        <v>34</v>
      </c>
      <c r="U56" s="80">
        <f t="shared" si="1"/>
        <v>39</v>
      </c>
      <c r="V56" s="80">
        <f t="shared" si="1"/>
        <v>17</v>
      </c>
      <c r="W56" s="80">
        <f t="shared" si="1"/>
        <v>27</v>
      </c>
      <c r="X56" s="80">
        <f t="shared" si="1"/>
        <v>18</v>
      </c>
      <c r="Y56" s="80">
        <f t="shared" si="1"/>
        <v>0</v>
      </c>
      <c r="Z56" s="80">
        <f t="shared" si="1"/>
        <v>0</v>
      </c>
      <c r="AA56" s="80">
        <f t="shared" si="1"/>
        <v>0</v>
      </c>
      <c r="AB56" s="80">
        <f t="shared" si="1"/>
        <v>0</v>
      </c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1">
        <f t="shared" ref="BD56:BI56" si="2">SUM(BD40:BD55)</f>
        <v>16</v>
      </c>
      <c r="BE56" s="81">
        <f t="shared" si="2"/>
        <v>16</v>
      </c>
      <c r="BF56" s="81">
        <f t="shared" si="2"/>
        <v>16</v>
      </c>
      <c r="BG56" s="81">
        <f t="shared" si="2"/>
        <v>27</v>
      </c>
      <c r="BH56" s="81">
        <f t="shared" si="2"/>
        <v>44</v>
      </c>
      <c r="BI56" s="81">
        <f t="shared" si="2"/>
        <v>16</v>
      </c>
    </row>
    <row r="57" spans="1:61" s="81" customFormat="1" ht="18.75" customHeight="1">
      <c r="A57" s="80" t="s">
        <v>138</v>
      </c>
      <c r="B57" s="80">
        <v>26</v>
      </c>
      <c r="C57" s="80">
        <v>25</v>
      </c>
      <c r="D57" s="80">
        <v>21</v>
      </c>
      <c r="E57" s="80">
        <v>20</v>
      </c>
      <c r="F57" s="80">
        <v>15</v>
      </c>
      <c r="G57" s="80">
        <v>25</v>
      </c>
      <c r="H57" s="80">
        <v>18</v>
      </c>
      <c r="I57" s="80">
        <f>70-54</f>
        <v>16</v>
      </c>
      <c r="J57" s="80">
        <f>72-36</f>
        <v>36</v>
      </c>
      <c r="K57" s="80">
        <f>76-50</f>
        <v>26</v>
      </c>
      <c r="L57" s="84">
        <v>25</v>
      </c>
      <c r="M57" s="84">
        <v>19</v>
      </c>
      <c r="N57" s="84">
        <f>59-44</f>
        <v>15</v>
      </c>
      <c r="O57" s="84">
        <f>80-55</f>
        <v>25</v>
      </c>
      <c r="P57" s="84">
        <f>95-70</f>
        <v>25</v>
      </c>
      <c r="Q57" s="84">
        <f>80-55</f>
        <v>25</v>
      </c>
      <c r="R57" s="84">
        <v>12</v>
      </c>
      <c r="S57" s="80">
        <v>21</v>
      </c>
      <c r="T57" s="80">
        <v>17</v>
      </c>
      <c r="U57" s="80">
        <v>11</v>
      </c>
      <c r="V57" s="80">
        <v>23</v>
      </c>
      <c r="W57" s="80">
        <f>70-57</f>
        <v>13</v>
      </c>
      <c r="X57" s="80">
        <f>69-65</f>
        <v>4</v>
      </c>
      <c r="Y57" s="80">
        <v>16</v>
      </c>
      <c r="Z57" s="80">
        <v>12</v>
      </c>
      <c r="AA57" s="80">
        <v>15</v>
      </c>
      <c r="AB57" s="80">
        <v>10</v>
      </c>
      <c r="AC57" s="80">
        <v>16</v>
      </c>
      <c r="AD57" s="80">
        <v>16</v>
      </c>
      <c r="AE57" s="80">
        <v>16</v>
      </c>
      <c r="AF57" s="80">
        <v>30</v>
      </c>
      <c r="AG57" s="80">
        <v>20</v>
      </c>
      <c r="AH57" s="80">
        <v>16</v>
      </c>
      <c r="AI57" s="80">
        <v>28</v>
      </c>
      <c r="AJ57" s="80">
        <v>25</v>
      </c>
      <c r="AK57" s="80">
        <v>26</v>
      </c>
      <c r="AL57" s="80">
        <v>19</v>
      </c>
      <c r="AM57" s="80">
        <v>19</v>
      </c>
      <c r="AN57" s="80">
        <v>18</v>
      </c>
      <c r="AO57" s="80">
        <v>17</v>
      </c>
      <c r="AP57" s="80">
        <v>15</v>
      </c>
      <c r="AQ57" s="80">
        <v>23</v>
      </c>
      <c r="AR57" s="80">
        <v>15</v>
      </c>
      <c r="AS57" s="80">
        <v>12</v>
      </c>
      <c r="AT57" s="80">
        <v>23</v>
      </c>
      <c r="AU57" s="80">
        <v>20</v>
      </c>
      <c r="AV57" s="80">
        <v>22</v>
      </c>
      <c r="AW57" s="80">
        <v>19</v>
      </c>
      <c r="AX57" s="80">
        <v>26</v>
      </c>
      <c r="AY57" s="80">
        <v>6</v>
      </c>
      <c r="AZ57" s="80">
        <v>29</v>
      </c>
      <c r="BA57" s="80">
        <v>19</v>
      </c>
      <c r="BB57" s="80">
        <f>83-35</f>
        <v>48</v>
      </c>
      <c r="BC57" s="80">
        <v>27</v>
      </c>
      <c r="BD57" s="81">
        <f>120-116</f>
        <v>4</v>
      </c>
      <c r="BE57" s="81">
        <f>124-100</f>
        <v>24</v>
      </c>
      <c r="BF57" s="81">
        <f>121-91</f>
        <v>30</v>
      </c>
      <c r="BG57" s="81">
        <f>128-107</f>
        <v>21</v>
      </c>
      <c r="BH57" s="81">
        <f>124-105</f>
        <v>19</v>
      </c>
      <c r="BI57" s="81">
        <f>120-110</f>
        <v>10</v>
      </c>
    </row>
    <row r="58" spans="1:61" s="81" customFormat="1" ht="18.75" customHeight="1">
      <c r="A58" s="80" t="s">
        <v>139</v>
      </c>
      <c r="B58" s="80">
        <v>36</v>
      </c>
      <c r="C58" s="80">
        <v>34</v>
      </c>
      <c r="D58" s="80">
        <v>26</v>
      </c>
      <c r="E58" s="80">
        <v>35</v>
      </c>
      <c r="F58" s="80">
        <v>25</v>
      </c>
      <c r="G58" s="80">
        <v>30</v>
      </c>
      <c r="H58" s="80">
        <f>100-76</f>
        <v>24</v>
      </c>
      <c r="I58" s="80">
        <f>107-75</f>
        <v>32</v>
      </c>
      <c r="J58" s="80">
        <f>109-72</f>
        <v>37</v>
      </c>
      <c r="K58" s="80">
        <f>110-75</f>
        <v>35</v>
      </c>
      <c r="L58" s="84">
        <v>43</v>
      </c>
      <c r="M58" s="84">
        <f>105-73</f>
        <v>32</v>
      </c>
      <c r="N58" s="84">
        <f>88-56</f>
        <v>32</v>
      </c>
      <c r="O58" s="84">
        <f>113-80</f>
        <v>33</v>
      </c>
      <c r="P58" s="84">
        <f>70-55</f>
        <v>15</v>
      </c>
      <c r="Q58" s="84">
        <f>105-80</f>
        <v>25</v>
      </c>
      <c r="R58" s="84">
        <v>34</v>
      </c>
      <c r="S58" s="80">
        <v>33</v>
      </c>
      <c r="T58" s="80">
        <v>35</v>
      </c>
      <c r="U58" s="80">
        <v>28</v>
      </c>
      <c r="V58" s="80">
        <v>25</v>
      </c>
      <c r="W58" s="80">
        <f>99-70</f>
        <v>29</v>
      </c>
      <c r="X58" s="80">
        <f>94-69</f>
        <v>25</v>
      </c>
      <c r="Y58" s="80">
        <v>31</v>
      </c>
      <c r="Z58" s="80">
        <v>27</v>
      </c>
      <c r="AA58" s="80">
        <v>20</v>
      </c>
      <c r="AB58" s="80">
        <v>22</v>
      </c>
      <c r="AC58" s="80">
        <v>23</v>
      </c>
      <c r="AD58" s="80">
        <v>25</v>
      </c>
      <c r="AE58" s="80">
        <v>20</v>
      </c>
      <c r="AF58" s="80">
        <v>35</v>
      </c>
      <c r="AG58" s="80">
        <v>33</v>
      </c>
      <c r="AH58" s="80">
        <v>32</v>
      </c>
      <c r="AI58" s="80">
        <v>39</v>
      </c>
      <c r="AJ58" s="80">
        <v>51</v>
      </c>
      <c r="AK58" s="80">
        <v>44</v>
      </c>
      <c r="AL58" s="80">
        <v>37</v>
      </c>
      <c r="AM58" s="80">
        <v>37</v>
      </c>
      <c r="AN58" s="80">
        <v>35</v>
      </c>
      <c r="AO58" s="80">
        <v>39</v>
      </c>
      <c r="AP58" s="80">
        <v>19</v>
      </c>
      <c r="AQ58" s="80">
        <v>40</v>
      </c>
      <c r="AR58" s="80">
        <v>39</v>
      </c>
      <c r="AS58" s="80">
        <v>31</v>
      </c>
      <c r="AT58" s="80">
        <v>33</v>
      </c>
      <c r="AU58" s="80">
        <v>32</v>
      </c>
      <c r="AV58" s="80">
        <v>42</v>
      </c>
      <c r="AW58" s="80">
        <v>25</v>
      </c>
      <c r="AX58" s="80">
        <v>46</v>
      </c>
      <c r="AY58" s="80">
        <v>37</v>
      </c>
      <c r="AZ58" s="80">
        <v>39</v>
      </c>
      <c r="BA58" s="80">
        <v>38</v>
      </c>
      <c r="BB58" s="80">
        <v>32</v>
      </c>
      <c r="BC58" s="80">
        <v>47</v>
      </c>
      <c r="BD58" s="81">
        <f>150-120</f>
        <v>30</v>
      </c>
      <c r="BE58" s="81">
        <f>158-123</f>
        <v>35</v>
      </c>
      <c r="BF58" s="81">
        <f>147-121</f>
        <v>26</v>
      </c>
      <c r="BG58" s="81">
        <f>150-128</f>
        <v>22</v>
      </c>
      <c r="BH58" s="81">
        <f>145-121</f>
        <v>24</v>
      </c>
      <c r="BI58" s="81">
        <f>146-122</f>
        <v>24</v>
      </c>
    </row>
    <row r="59" spans="1:61" s="81" customFormat="1" ht="18.75" customHeight="1">
      <c r="A59" s="80" t="s">
        <v>140</v>
      </c>
      <c r="B59" s="80">
        <v>10.199999999999999</v>
      </c>
      <c r="C59" s="80">
        <v>8.9</v>
      </c>
      <c r="D59" s="80">
        <v>7.9</v>
      </c>
      <c r="E59" s="80">
        <v>9.1999999999999993</v>
      </c>
      <c r="F59" s="80">
        <v>9.4</v>
      </c>
      <c r="G59" s="80">
        <v>10.8</v>
      </c>
      <c r="H59" s="80">
        <v>9.4</v>
      </c>
      <c r="I59" s="80">
        <v>8.6999999999999993</v>
      </c>
      <c r="J59" s="80">
        <v>9.7899999999999991</v>
      </c>
      <c r="K59" s="80">
        <v>9.8000000000000007</v>
      </c>
      <c r="L59" s="84">
        <v>9.44</v>
      </c>
      <c r="M59" s="84">
        <v>8.5500000000000007</v>
      </c>
      <c r="N59" s="84">
        <v>9.92</v>
      </c>
      <c r="O59" s="84">
        <v>8.83</v>
      </c>
      <c r="P59" s="84">
        <v>7.1</v>
      </c>
      <c r="Q59" s="84">
        <v>8.5</v>
      </c>
      <c r="R59" s="84">
        <v>7.58</v>
      </c>
      <c r="S59" s="80">
        <v>9.6999999999999993</v>
      </c>
      <c r="T59" s="80">
        <v>10.9</v>
      </c>
      <c r="U59" s="80">
        <v>11.3</v>
      </c>
      <c r="V59" s="80">
        <v>10.16</v>
      </c>
      <c r="W59" s="80">
        <v>10.7</v>
      </c>
      <c r="X59" s="80">
        <v>8.7100000000000009</v>
      </c>
      <c r="Y59" s="80">
        <v>8.98</v>
      </c>
      <c r="Z59" s="80">
        <v>7.84</v>
      </c>
      <c r="AA59" s="80"/>
      <c r="AB59" s="80">
        <v>8.43</v>
      </c>
      <c r="AC59" s="80">
        <v>7.14</v>
      </c>
      <c r="AD59" s="80">
        <v>8.67</v>
      </c>
      <c r="AE59" s="80">
        <v>9.4</v>
      </c>
      <c r="AF59" s="80">
        <v>8.3699999999999992</v>
      </c>
      <c r="AG59" s="80">
        <v>8.3000000000000007</v>
      </c>
      <c r="AH59" s="80">
        <v>7.02</v>
      </c>
      <c r="AI59" s="80">
        <v>7.26</v>
      </c>
      <c r="AJ59" s="80">
        <v>7.32</v>
      </c>
      <c r="AK59" s="80">
        <v>8.8000000000000007</v>
      </c>
      <c r="AL59" s="80">
        <v>8.74</v>
      </c>
      <c r="AM59" s="80">
        <v>11.21</v>
      </c>
      <c r="AN59" s="80">
        <v>7.66</v>
      </c>
      <c r="AO59" s="80">
        <v>9.3000000000000007</v>
      </c>
      <c r="AP59" s="80">
        <v>8.01</v>
      </c>
      <c r="AQ59" s="80">
        <v>8.74</v>
      </c>
      <c r="AR59" s="80">
        <v>8.25</v>
      </c>
      <c r="AS59" s="80">
        <v>7.52</v>
      </c>
      <c r="AT59" s="80">
        <v>8.4</v>
      </c>
      <c r="AU59" s="80">
        <v>8.32</v>
      </c>
      <c r="AV59" s="80">
        <v>8.5299999999999994</v>
      </c>
      <c r="AW59" s="80">
        <v>7.68</v>
      </c>
      <c r="AX59" s="80">
        <v>8.36</v>
      </c>
      <c r="AY59" s="80">
        <v>8.35</v>
      </c>
      <c r="AZ59" s="80">
        <v>7.96</v>
      </c>
      <c r="BA59" s="80">
        <v>8.0299999999999994</v>
      </c>
      <c r="BB59" s="80">
        <v>8.67</v>
      </c>
      <c r="BC59" s="80">
        <v>8.48</v>
      </c>
      <c r="BD59" s="81">
        <v>10.86</v>
      </c>
      <c r="BE59" s="81">
        <v>11.9</v>
      </c>
      <c r="BF59" s="81">
        <v>8.1999999999999993</v>
      </c>
      <c r="BG59" s="81">
        <v>12.82</v>
      </c>
      <c r="BH59" s="81">
        <v>11.47</v>
      </c>
      <c r="BI59" s="81">
        <v>11.97</v>
      </c>
    </row>
    <row r="60" spans="1:61" s="81" customFormat="1" ht="18.75" customHeight="1">
      <c r="A60" s="80" t="s">
        <v>141</v>
      </c>
      <c r="B60" s="80">
        <v>8</v>
      </c>
      <c r="C60" s="80">
        <v>6.39</v>
      </c>
      <c r="D60" s="80">
        <v>7.1</v>
      </c>
      <c r="E60" s="80">
        <v>6.9</v>
      </c>
      <c r="F60" s="80">
        <v>6.9</v>
      </c>
      <c r="G60" s="80">
        <v>7.6</v>
      </c>
      <c r="H60" s="80">
        <v>7.37</v>
      </c>
      <c r="I60" s="80">
        <v>6.5</v>
      </c>
      <c r="J60" s="80">
        <v>6.8</v>
      </c>
      <c r="K60" s="80">
        <v>7.71</v>
      </c>
      <c r="L60" s="84">
        <v>6.88</v>
      </c>
      <c r="M60" s="84">
        <v>6.93</v>
      </c>
      <c r="N60" s="84">
        <v>9.01</v>
      </c>
      <c r="O60" s="84">
        <v>6.27</v>
      </c>
      <c r="P60" s="84">
        <v>6.2</v>
      </c>
      <c r="Q60" s="84">
        <v>6.6</v>
      </c>
      <c r="R60" s="84">
        <v>5.83</v>
      </c>
      <c r="S60" s="80">
        <v>6.7</v>
      </c>
      <c r="T60" s="80">
        <v>7.4</v>
      </c>
      <c r="U60" s="80">
        <v>9.5</v>
      </c>
      <c r="V60" s="80">
        <v>7.74</v>
      </c>
      <c r="W60" s="80">
        <v>8.9</v>
      </c>
      <c r="X60" s="80">
        <v>7.48</v>
      </c>
      <c r="Y60" s="80">
        <v>5.19</v>
      </c>
      <c r="Z60" s="80">
        <v>4.2300000000000004</v>
      </c>
      <c r="AA60" s="80"/>
      <c r="AB60" s="80">
        <v>6.27</v>
      </c>
      <c r="AC60" s="80">
        <v>4.67</v>
      </c>
      <c r="AD60" s="80">
        <v>4.7</v>
      </c>
      <c r="AE60" s="80">
        <v>5.3</v>
      </c>
      <c r="AF60" s="80">
        <v>5.73</v>
      </c>
      <c r="AG60" s="80">
        <v>5.83</v>
      </c>
      <c r="AH60" s="80">
        <v>5.7</v>
      </c>
      <c r="AI60" s="80">
        <v>5.99</v>
      </c>
      <c r="AJ60" s="80">
        <v>4.05</v>
      </c>
      <c r="AK60" s="80">
        <v>5.0999999999999996</v>
      </c>
      <c r="AL60" s="80">
        <v>6.27</v>
      </c>
      <c r="AM60" s="80">
        <v>5.52</v>
      </c>
      <c r="AN60" s="80">
        <v>5.53</v>
      </c>
      <c r="AO60" s="80">
        <v>4.7</v>
      </c>
      <c r="AP60" s="80">
        <v>4.47</v>
      </c>
      <c r="AQ60" s="80">
        <v>5.59</v>
      </c>
      <c r="AR60" s="80">
        <v>6.12</v>
      </c>
      <c r="AS60" s="80">
        <v>5.35</v>
      </c>
      <c r="AT60" s="80">
        <v>6.9</v>
      </c>
      <c r="AU60" s="80">
        <v>5.34</v>
      </c>
      <c r="AV60" s="80">
        <v>5.53</v>
      </c>
      <c r="AW60" s="80">
        <v>5.08</v>
      </c>
      <c r="AX60" s="80">
        <v>5.76</v>
      </c>
      <c r="AY60" s="80">
        <v>5.45</v>
      </c>
      <c r="AZ60" s="80">
        <v>5.83</v>
      </c>
      <c r="BA60" s="80">
        <v>5.13</v>
      </c>
      <c r="BB60" s="80">
        <v>5.7</v>
      </c>
      <c r="BC60" s="80">
        <v>5.74</v>
      </c>
      <c r="BD60" s="81">
        <v>7.37</v>
      </c>
      <c r="BE60" s="81">
        <v>7.16</v>
      </c>
      <c r="BF60" s="81">
        <v>6.5</v>
      </c>
      <c r="BG60" s="81">
        <v>9.84</v>
      </c>
      <c r="BH60" s="81">
        <v>9.56</v>
      </c>
      <c r="BI60" s="81">
        <v>9.15</v>
      </c>
    </row>
    <row r="61" spans="1:61" s="81" customFormat="1" ht="18.75" customHeight="1">
      <c r="A61" s="80" t="s">
        <v>142</v>
      </c>
      <c r="B61" s="80">
        <v>3</v>
      </c>
      <c r="C61" s="80">
        <v>32</v>
      </c>
      <c r="D61" s="80">
        <v>54</v>
      </c>
      <c r="E61" s="80">
        <v>5</v>
      </c>
      <c r="F61" s="80">
        <v>5</v>
      </c>
      <c r="G61" s="80">
        <v>12</v>
      </c>
      <c r="H61" s="80">
        <v>60</v>
      </c>
      <c r="I61" s="80">
        <v>10</v>
      </c>
      <c r="J61" s="80">
        <v>27</v>
      </c>
      <c r="K61" s="80">
        <v>25</v>
      </c>
      <c r="L61" s="84">
        <v>60</v>
      </c>
      <c r="M61" s="84">
        <v>4</v>
      </c>
      <c r="N61" s="84">
        <v>1</v>
      </c>
      <c r="O61" s="84">
        <v>60</v>
      </c>
      <c r="P61" s="84">
        <v>3</v>
      </c>
      <c r="Q61" s="84">
        <v>2</v>
      </c>
      <c r="R61" s="84">
        <v>60</v>
      </c>
      <c r="S61" s="80">
        <v>4</v>
      </c>
      <c r="T61" s="80">
        <v>4</v>
      </c>
      <c r="U61" s="80">
        <v>15</v>
      </c>
      <c r="V61" s="80"/>
      <c r="W61" s="80">
        <v>2</v>
      </c>
      <c r="X61" s="80">
        <v>21</v>
      </c>
      <c r="Y61" s="80">
        <v>60</v>
      </c>
      <c r="Z61" s="80">
        <v>60</v>
      </c>
      <c r="AA61" s="80">
        <v>60</v>
      </c>
      <c r="AB61" s="80">
        <v>60</v>
      </c>
      <c r="AC61" s="80">
        <v>60</v>
      </c>
      <c r="AD61" s="80">
        <v>60</v>
      </c>
      <c r="AE61" s="80">
        <v>60</v>
      </c>
      <c r="AF61" s="80">
        <v>46</v>
      </c>
      <c r="AG61" s="80">
        <v>60</v>
      </c>
      <c r="AH61" s="80">
        <v>60</v>
      </c>
      <c r="AI61" s="80">
        <v>9</v>
      </c>
      <c r="AJ61" s="80">
        <v>60</v>
      </c>
      <c r="AK61" s="80">
        <v>60</v>
      </c>
      <c r="AL61" s="80">
        <v>47</v>
      </c>
      <c r="AM61" s="80">
        <v>60</v>
      </c>
      <c r="AN61" s="80">
        <v>60</v>
      </c>
      <c r="AO61" s="80">
        <v>60</v>
      </c>
      <c r="AP61" s="80">
        <v>60</v>
      </c>
      <c r="AQ61" s="80">
        <v>60</v>
      </c>
      <c r="AR61" s="80">
        <v>60</v>
      </c>
      <c r="AS61" s="80">
        <v>60</v>
      </c>
      <c r="AT61" s="80">
        <v>60</v>
      </c>
      <c r="AU61" s="80">
        <v>60</v>
      </c>
      <c r="AV61" s="80">
        <v>60</v>
      </c>
      <c r="AW61" s="80">
        <v>60</v>
      </c>
      <c r="AX61" s="80">
        <v>60</v>
      </c>
      <c r="AY61" s="80">
        <v>28</v>
      </c>
      <c r="AZ61" s="80">
        <v>60</v>
      </c>
      <c r="BA61" s="80">
        <v>46</v>
      </c>
      <c r="BB61" s="80">
        <v>60</v>
      </c>
      <c r="BC61" s="80">
        <v>60</v>
      </c>
      <c r="BD61" s="81">
        <v>17</v>
      </c>
      <c r="BE61" s="81">
        <v>33</v>
      </c>
      <c r="BF61" s="81">
        <v>60</v>
      </c>
      <c r="BG61" s="81">
        <v>60</v>
      </c>
      <c r="BH61" s="81">
        <v>0</v>
      </c>
      <c r="BI61" s="81">
        <v>10</v>
      </c>
    </row>
    <row r="62" spans="1:61" s="81" customFormat="1" ht="18.75" customHeight="1">
      <c r="A62" s="80" t="s">
        <v>143</v>
      </c>
      <c r="B62" s="80">
        <v>7</v>
      </c>
      <c r="C62" s="80">
        <v>60</v>
      </c>
      <c r="D62" s="80">
        <v>60</v>
      </c>
      <c r="E62" s="80">
        <v>9</v>
      </c>
      <c r="F62" s="80">
        <v>2</v>
      </c>
      <c r="G62" s="80">
        <v>15</v>
      </c>
      <c r="H62" s="80">
        <v>60</v>
      </c>
      <c r="I62" s="80">
        <v>44</v>
      </c>
      <c r="J62" s="80">
        <v>38</v>
      </c>
      <c r="K62" s="80">
        <v>60</v>
      </c>
      <c r="L62" s="84">
        <v>60</v>
      </c>
      <c r="M62" s="84">
        <v>2</v>
      </c>
      <c r="N62" s="84">
        <v>1</v>
      </c>
      <c r="O62" s="84">
        <v>60</v>
      </c>
      <c r="P62" s="84">
        <v>4</v>
      </c>
      <c r="Q62" s="84">
        <v>2</v>
      </c>
      <c r="R62" s="84">
        <v>60</v>
      </c>
      <c r="S62" s="80">
        <v>3</v>
      </c>
      <c r="T62" s="80">
        <v>6</v>
      </c>
      <c r="U62" s="80">
        <v>21</v>
      </c>
      <c r="V62" s="80"/>
      <c r="W62" s="80">
        <v>6</v>
      </c>
      <c r="X62" s="80">
        <v>21</v>
      </c>
      <c r="Y62" s="80">
        <v>60</v>
      </c>
      <c r="Z62" s="80">
        <v>60</v>
      </c>
      <c r="AA62" s="80">
        <v>60</v>
      </c>
      <c r="AB62" s="80">
        <v>60</v>
      </c>
      <c r="AC62" s="80">
        <v>60</v>
      </c>
      <c r="AD62" s="80">
        <v>60</v>
      </c>
      <c r="AE62" s="80">
        <v>60</v>
      </c>
      <c r="AF62" s="80">
        <v>52</v>
      </c>
      <c r="AG62" s="80">
        <v>60</v>
      </c>
      <c r="AH62" s="80">
        <v>60</v>
      </c>
      <c r="AI62" s="80">
        <v>31</v>
      </c>
      <c r="AJ62" s="80">
        <v>60</v>
      </c>
      <c r="AK62" s="80">
        <v>60</v>
      </c>
      <c r="AL62" s="80">
        <v>60</v>
      </c>
      <c r="AM62" s="80">
        <v>60</v>
      </c>
      <c r="AN62" s="80">
        <v>60</v>
      </c>
      <c r="AO62" s="80">
        <v>22</v>
      </c>
      <c r="AP62" s="80">
        <v>60</v>
      </c>
      <c r="AQ62" s="80">
        <v>60</v>
      </c>
      <c r="AR62" s="80">
        <v>60</v>
      </c>
      <c r="AS62" s="80">
        <v>60</v>
      </c>
      <c r="AT62" s="80">
        <v>60</v>
      </c>
      <c r="AU62" s="80">
        <v>60</v>
      </c>
      <c r="AV62" s="80">
        <v>60</v>
      </c>
      <c r="AW62" s="80">
        <v>60</v>
      </c>
      <c r="AX62" s="80">
        <v>52</v>
      </c>
      <c r="AY62" s="80">
        <v>60</v>
      </c>
      <c r="AZ62" s="80">
        <v>40</v>
      </c>
      <c r="BA62" s="80">
        <v>60</v>
      </c>
      <c r="BB62" s="80">
        <v>60</v>
      </c>
      <c r="BC62" s="80">
        <v>60</v>
      </c>
      <c r="BD62" s="81">
        <v>7</v>
      </c>
      <c r="BE62" s="81">
        <v>5</v>
      </c>
      <c r="BF62" s="81">
        <v>60</v>
      </c>
      <c r="BG62" s="81">
        <v>60</v>
      </c>
      <c r="BH62" s="81">
        <v>0</v>
      </c>
      <c r="BI62" s="81">
        <v>15</v>
      </c>
    </row>
    <row r="63" spans="1:61" s="81" customFormat="1" ht="18.75" customHeight="1">
      <c r="A63" s="80" t="s">
        <v>144</v>
      </c>
      <c r="B63" s="80">
        <v>8</v>
      </c>
      <c r="C63" s="80">
        <v>59</v>
      </c>
      <c r="D63" s="80">
        <v>60</v>
      </c>
      <c r="E63" s="80">
        <v>9</v>
      </c>
      <c r="F63" s="80">
        <v>5</v>
      </c>
      <c r="G63" s="80">
        <v>4</v>
      </c>
      <c r="H63" s="80">
        <v>60</v>
      </c>
      <c r="I63" s="80">
        <v>27</v>
      </c>
      <c r="J63" s="80">
        <v>22</v>
      </c>
      <c r="K63" s="80">
        <v>35</v>
      </c>
      <c r="L63" s="84">
        <v>60</v>
      </c>
      <c r="M63" s="84">
        <v>5</v>
      </c>
      <c r="N63" s="84">
        <v>1</v>
      </c>
      <c r="O63" s="84">
        <v>33</v>
      </c>
      <c r="P63" s="84">
        <v>7</v>
      </c>
      <c r="Q63" s="84">
        <v>5</v>
      </c>
      <c r="R63" s="84">
        <v>60</v>
      </c>
      <c r="S63" s="80">
        <v>4</v>
      </c>
      <c r="T63" s="80">
        <v>6</v>
      </c>
      <c r="U63" s="80">
        <v>2</v>
      </c>
      <c r="V63" s="80">
        <v>6</v>
      </c>
      <c r="W63" s="80">
        <v>3</v>
      </c>
      <c r="X63" s="80">
        <v>18</v>
      </c>
      <c r="Y63" s="80">
        <v>60</v>
      </c>
      <c r="Z63" s="80">
        <v>60</v>
      </c>
      <c r="AA63" s="80">
        <v>60</v>
      </c>
      <c r="AB63" s="80">
        <v>60</v>
      </c>
      <c r="AC63" s="80">
        <v>60</v>
      </c>
      <c r="AD63" s="80">
        <v>60</v>
      </c>
      <c r="AE63" s="80">
        <v>60</v>
      </c>
      <c r="AF63" s="80">
        <v>54</v>
      </c>
      <c r="AG63" s="80">
        <v>60</v>
      </c>
      <c r="AH63" s="80">
        <v>60</v>
      </c>
      <c r="AI63" s="80">
        <v>30</v>
      </c>
      <c r="AJ63" s="80">
        <v>60</v>
      </c>
      <c r="AK63" s="80">
        <v>60</v>
      </c>
      <c r="AL63" s="80">
        <v>60</v>
      </c>
      <c r="AM63" s="80">
        <v>60</v>
      </c>
      <c r="AN63" s="80">
        <v>60</v>
      </c>
      <c r="AO63" s="80">
        <v>60</v>
      </c>
      <c r="AP63" s="80">
        <v>60</v>
      </c>
      <c r="AQ63" s="80">
        <v>60</v>
      </c>
      <c r="AR63" s="80">
        <v>60</v>
      </c>
      <c r="AS63" s="80">
        <v>60</v>
      </c>
      <c r="AT63" s="80">
        <v>60</v>
      </c>
      <c r="AU63" s="80">
        <v>60</v>
      </c>
      <c r="AV63" s="80">
        <v>60</v>
      </c>
      <c r="AW63" s="80">
        <v>60</v>
      </c>
      <c r="AX63" s="80">
        <v>60</v>
      </c>
      <c r="AY63" s="80">
        <v>60</v>
      </c>
      <c r="AZ63" s="80">
        <v>60</v>
      </c>
      <c r="BA63" s="80">
        <v>60</v>
      </c>
      <c r="BB63" s="80">
        <v>60</v>
      </c>
      <c r="BC63" s="80">
        <v>60</v>
      </c>
      <c r="BD63" s="81">
        <v>4</v>
      </c>
      <c r="BE63" s="81">
        <v>54</v>
      </c>
      <c r="BF63" s="81">
        <v>42</v>
      </c>
      <c r="BG63" s="81">
        <v>59</v>
      </c>
      <c r="BH63" s="81">
        <v>0</v>
      </c>
      <c r="BI63" s="81">
        <v>6</v>
      </c>
    </row>
    <row r="64" spans="1:61" s="81" customFormat="1" ht="18.75" customHeight="1">
      <c r="A64" s="80" t="s">
        <v>145</v>
      </c>
      <c r="B64" s="80">
        <v>14</v>
      </c>
      <c r="C64" s="80">
        <v>60</v>
      </c>
      <c r="D64" s="80">
        <v>60</v>
      </c>
      <c r="E64" s="80">
        <v>6</v>
      </c>
      <c r="F64" s="80">
        <v>4</v>
      </c>
      <c r="G64" s="80">
        <v>18</v>
      </c>
      <c r="H64" s="80">
        <v>33</v>
      </c>
      <c r="I64" s="80">
        <v>60</v>
      </c>
      <c r="J64" s="80">
        <v>59</v>
      </c>
      <c r="K64" s="80">
        <v>21</v>
      </c>
      <c r="L64" s="84">
        <v>60</v>
      </c>
      <c r="M64" s="84">
        <v>7</v>
      </c>
      <c r="N64" s="84">
        <v>2</v>
      </c>
      <c r="O64" s="84">
        <v>60</v>
      </c>
      <c r="P64" s="84">
        <v>7</v>
      </c>
      <c r="Q64" s="84">
        <v>8</v>
      </c>
      <c r="R64" s="84">
        <v>60</v>
      </c>
      <c r="S64" s="80">
        <v>7</v>
      </c>
      <c r="T64" s="80">
        <v>12</v>
      </c>
      <c r="U64" s="80">
        <v>3</v>
      </c>
      <c r="V64" s="80">
        <v>6</v>
      </c>
      <c r="W64" s="80">
        <v>13</v>
      </c>
      <c r="X64" s="80">
        <v>20</v>
      </c>
      <c r="Y64" s="80">
        <v>60</v>
      </c>
      <c r="Z64" s="80">
        <v>60</v>
      </c>
      <c r="AA64" s="80">
        <v>60</v>
      </c>
      <c r="AB64" s="80">
        <v>60</v>
      </c>
      <c r="AC64" s="80">
        <v>60</v>
      </c>
      <c r="AD64" s="80">
        <v>60</v>
      </c>
      <c r="AE64" s="80">
        <v>60</v>
      </c>
      <c r="AF64" s="80">
        <v>41</v>
      </c>
      <c r="AG64" s="80">
        <v>60</v>
      </c>
      <c r="AH64" s="80">
        <v>60</v>
      </c>
      <c r="AI64" s="80">
        <v>45</v>
      </c>
      <c r="AJ64" s="80">
        <v>60</v>
      </c>
      <c r="AK64" s="80">
        <v>60</v>
      </c>
      <c r="AL64" s="80">
        <v>60</v>
      </c>
      <c r="AM64" s="80">
        <v>60</v>
      </c>
      <c r="AN64" s="80">
        <v>60</v>
      </c>
      <c r="AO64" s="80">
        <v>60</v>
      </c>
      <c r="AP64" s="80">
        <v>60</v>
      </c>
      <c r="AQ64" s="80">
        <v>60</v>
      </c>
      <c r="AR64" s="80">
        <v>60</v>
      </c>
      <c r="AS64" s="80">
        <v>60</v>
      </c>
      <c r="AT64" s="80">
        <v>60</v>
      </c>
      <c r="AU64" s="80">
        <v>60</v>
      </c>
      <c r="AV64" s="80">
        <v>60</v>
      </c>
      <c r="AW64" s="80">
        <v>60</v>
      </c>
      <c r="AX64" s="80">
        <v>60</v>
      </c>
      <c r="AY64" s="80">
        <v>60</v>
      </c>
      <c r="AZ64" s="80">
        <v>60</v>
      </c>
      <c r="BA64" s="80">
        <v>60</v>
      </c>
      <c r="BB64" s="80">
        <v>60</v>
      </c>
      <c r="BC64" s="80">
        <v>60</v>
      </c>
      <c r="BD64" s="81">
        <v>11</v>
      </c>
      <c r="BE64" s="81">
        <v>7</v>
      </c>
      <c r="BF64" s="81">
        <v>60</v>
      </c>
      <c r="BG64" s="81">
        <v>51</v>
      </c>
      <c r="BH64" s="81">
        <v>0</v>
      </c>
      <c r="BI64" s="81">
        <v>7</v>
      </c>
    </row>
    <row r="65" spans="1:61" s="81" customFormat="1" ht="18.75" customHeight="1">
      <c r="A65" s="80" t="s">
        <v>146</v>
      </c>
      <c r="B65" s="80">
        <v>30</v>
      </c>
      <c r="C65" s="80">
        <v>21</v>
      </c>
      <c r="D65" s="80">
        <v>22</v>
      </c>
      <c r="E65" s="80">
        <v>24</v>
      </c>
      <c r="F65" s="80"/>
      <c r="G65" s="80"/>
      <c r="H65" s="80">
        <v>21</v>
      </c>
      <c r="I65" s="80">
        <v>21</v>
      </c>
      <c r="J65" s="80">
        <v>21</v>
      </c>
      <c r="K65" s="80">
        <v>34</v>
      </c>
      <c r="L65" s="84">
        <v>34</v>
      </c>
      <c r="M65" s="84">
        <v>23</v>
      </c>
      <c r="N65" s="84">
        <v>24</v>
      </c>
      <c r="O65" s="84">
        <v>26</v>
      </c>
      <c r="P65" s="84">
        <v>26</v>
      </c>
      <c r="Q65" s="84">
        <v>30</v>
      </c>
      <c r="R65" s="84">
        <v>42</v>
      </c>
      <c r="S65" s="80">
        <v>34</v>
      </c>
      <c r="T65" s="80">
        <v>20</v>
      </c>
      <c r="U65" s="80">
        <v>20</v>
      </c>
      <c r="V65" s="80">
        <v>22</v>
      </c>
      <c r="W65" s="80">
        <v>20</v>
      </c>
      <c r="X65" s="80">
        <v>25</v>
      </c>
      <c r="Y65" s="80">
        <v>62</v>
      </c>
      <c r="Z65" s="80">
        <v>44</v>
      </c>
      <c r="AA65" s="80">
        <v>52</v>
      </c>
      <c r="AB65" s="80">
        <v>38</v>
      </c>
      <c r="AC65" s="80">
        <v>30</v>
      </c>
      <c r="AD65" s="80">
        <v>32</v>
      </c>
      <c r="AE65" s="80">
        <v>20</v>
      </c>
      <c r="AF65" s="80">
        <v>28</v>
      </c>
      <c r="AG65" s="80">
        <v>30</v>
      </c>
      <c r="AH65" s="80">
        <v>25</v>
      </c>
      <c r="AI65" s="80">
        <v>32</v>
      </c>
      <c r="AJ65" s="80">
        <v>38</v>
      </c>
      <c r="AK65" s="80">
        <v>58</v>
      </c>
      <c r="AL65" s="80">
        <v>30</v>
      </c>
      <c r="AM65" s="80">
        <v>38</v>
      </c>
      <c r="AN65" s="80">
        <v>46</v>
      </c>
      <c r="AO65" s="80">
        <v>52</v>
      </c>
      <c r="AP65" s="80">
        <v>50</v>
      </c>
      <c r="AQ65" s="80">
        <v>32</v>
      </c>
      <c r="AR65" s="80">
        <v>52</v>
      </c>
      <c r="AS65" s="80">
        <v>34</v>
      </c>
      <c r="AT65" s="80">
        <v>54</v>
      </c>
      <c r="AU65" s="80">
        <v>34</v>
      </c>
      <c r="AV65" s="80">
        <v>45</v>
      </c>
      <c r="AW65" s="80">
        <v>38</v>
      </c>
      <c r="AX65" s="80">
        <v>60</v>
      </c>
      <c r="AY65" s="80">
        <v>38</v>
      </c>
      <c r="AZ65" s="80">
        <v>29</v>
      </c>
      <c r="BA65" s="80">
        <v>54</v>
      </c>
      <c r="BB65" s="80">
        <v>32</v>
      </c>
      <c r="BC65" s="80">
        <v>68</v>
      </c>
      <c r="BD65" s="81">
        <v>20</v>
      </c>
      <c r="BE65" s="81">
        <v>26</v>
      </c>
      <c r="BF65" s="81">
        <v>24</v>
      </c>
      <c r="BG65" s="81">
        <v>26</v>
      </c>
      <c r="BH65" s="81">
        <v>24</v>
      </c>
      <c r="BI65" s="81">
        <v>22</v>
      </c>
    </row>
    <row r="66" spans="1:61" s="81" customFormat="1" ht="18.75" customHeight="1">
      <c r="A66" s="80" t="s">
        <v>147</v>
      </c>
      <c r="B66" s="80"/>
      <c r="C66" s="80"/>
      <c r="D66" s="80"/>
      <c r="E66" s="80"/>
      <c r="F66" s="80"/>
      <c r="G66" s="80"/>
      <c r="H66" s="80">
        <v>21</v>
      </c>
      <c r="I66" s="80">
        <v>21.5</v>
      </c>
      <c r="J66" s="80">
        <v>22</v>
      </c>
      <c r="K66" s="80">
        <v>34</v>
      </c>
      <c r="L66" s="84">
        <v>34</v>
      </c>
      <c r="M66" s="84">
        <v>26</v>
      </c>
      <c r="N66" s="84">
        <v>21</v>
      </c>
      <c r="O66" s="84">
        <v>27</v>
      </c>
      <c r="P66" s="84">
        <v>27</v>
      </c>
      <c r="Q66" s="84">
        <v>29</v>
      </c>
      <c r="R66" s="84">
        <v>42</v>
      </c>
      <c r="S66" s="80">
        <v>39</v>
      </c>
      <c r="T66" s="80">
        <v>18</v>
      </c>
      <c r="U66" s="80">
        <v>19.5</v>
      </c>
      <c r="V66" s="80">
        <v>27</v>
      </c>
      <c r="W66" s="80">
        <v>20</v>
      </c>
      <c r="X66" s="80">
        <v>28</v>
      </c>
      <c r="Y66" s="80">
        <v>62</v>
      </c>
      <c r="Z66" s="80">
        <v>36</v>
      </c>
      <c r="AA66" s="80">
        <v>51</v>
      </c>
      <c r="AB66" s="80">
        <v>34</v>
      </c>
      <c r="AC66" s="80">
        <v>24</v>
      </c>
      <c r="AD66" s="80">
        <v>32</v>
      </c>
      <c r="AE66" s="80">
        <v>24</v>
      </c>
      <c r="AF66" s="80">
        <v>22</v>
      </c>
      <c r="AG66" s="80">
        <v>25</v>
      </c>
      <c r="AH66" s="80">
        <v>24</v>
      </c>
      <c r="AI66" s="80">
        <v>34</v>
      </c>
      <c r="AJ66" s="80">
        <v>30</v>
      </c>
      <c r="AK66" s="80">
        <v>58</v>
      </c>
      <c r="AL66" s="80">
        <v>24</v>
      </c>
      <c r="AM66" s="80">
        <v>35</v>
      </c>
      <c r="AN66" s="80">
        <v>34</v>
      </c>
      <c r="AO66" s="80">
        <v>53</v>
      </c>
      <c r="AP66" s="80">
        <v>42</v>
      </c>
      <c r="AQ66" s="80">
        <v>30</v>
      </c>
      <c r="AR66" s="80">
        <v>46</v>
      </c>
      <c r="AS66" s="80">
        <v>30</v>
      </c>
      <c r="AT66" s="80">
        <v>42</v>
      </c>
      <c r="AU66" s="80">
        <v>36</v>
      </c>
      <c r="AV66" s="80">
        <v>46</v>
      </c>
      <c r="AW66" s="80">
        <v>32</v>
      </c>
      <c r="AX66" s="80">
        <v>61</v>
      </c>
      <c r="AY66" s="80">
        <v>36</v>
      </c>
      <c r="AZ66" s="80">
        <v>25</v>
      </c>
      <c r="BA66" s="80">
        <v>60</v>
      </c>
      <c r="BB66" s="80">
        <v>30</v>
      </c>
      <c r="BC66" s="80">
        <v>56</v>
      </c>
      <c r="BD66" s="81">
        <v>22</v>
      </c>
      <c r="BE66" s="81">
        <v>28</v>
      </c>
      <c r="BF66" s="81">
        <v>26</v>
      </c>
      <c r="BG66" s="81">
        <v>24</v>
      </c>
      <c r="BH66" s="81">
        <v>26</v>
      </c>
      <c r="BI66" s="81">
        <v>22</v>
      </c>
    </row>
    <row r="67" spans="1:61" s="81" customFormat="1" ht="18.75" customHeight="1">
      <c r="A67" s="80" t="s">
        <v>148</v>
      </c>
      <c r="B67" s="80">
        <v>30</v>
      </c>
      <c r="C67" s="80">
        <v>19</v>
      </c>
      <c r="D67" s="80">
        <v>22</v>
      </c>
      <c r="E67" s="80">
        <v>24.5</v>
      </c>
      <c r="F67" s="80"/>
      <c r="G67" s="80"/>
      <c r="H67" s="80">
        <v>21</v>
      </c>
      <c r="I67" s="80">
        <v>20</v>
      </c>
      <c r="J67" s="80">
        <v>19</v>
      </c>
      <c r="K67" s="80">
        <v>30</v>
      </c>
      <c r="L67" s="84">
        <v>32</v>
      </c>
      <c r="M67" s="84">
        <v>23</v>
      </c>
      <c r="N67" s="84">
        <v>22</v>
      </c>
      <c r="O67" s="84">
        <v>30.5</v>
      </c>
      <c r="P67" s="84">
        <v>17</v>
      </c>
      <c r="Q67" s="84">
        <v>28</v>
      </c>
      <c r="R67" s="84">
        <v>35</v>
      </c>
      <c r="S67" s="80">
        <v>30</v>
      </c>
      <c r="T67" s="80">
        <v>15</v>
      </c>
      <c r="U67" s="80">
        <v>12</v>
      </c>
      <c r="V67" s="80">
        <v>21</v>
      </c>
      <c r="W67" s="80">
        <v>19</v>
      </c>
      <c r="X67" s="80">
        <v>34</v>
      </c>
      <c r="Y67" s="80">
        <v>64</v>
      </c>
      <c r="Z67" s="80">
        <v>45</v>
      </c>
      <c r="AA67" s="80">
        <v>48</v>
      </c>
      <c r="AB67" s="80">
        <v>38</v>
      </c>
      <c r="AC67" s="80">
        <v>30</v>
      </c>
      <c r="AD67" s="80">
        <v>32</v>
      </c>
      <c r="AE67" s="80">
        <v>22</v>
      </c>
      <c r="AF67" s="80">
        <v>28</v>
      </c>
      <c r="AG67" s="80">
        <v>28</v>
      </c>
      <c r="AH67" s="80">
        <v>32</v>
      </c>
      <c r="AI67" s="80">
        <v>35</v>
      </c>
      <c r="AJ67" s="80">
        <v>34</v>
      </c>
      <c r="AK67" s="80">
        <v>58</v>
      </c>
      <c r="AL67" s="80">
        <v>28</v>
      </c>
      <c r="AM67" s="80">
        <v>32</v>
      </c>
      <c r="AN67" s="80">
        <v>48</v>
      </c>
      <c r="AO67" s="80">
        <v>52</v>
      </c>
      <c r="AP67" s="80">
        <v>50</v>
      </c>
      <c r="AQ67" s="80">
        <v>31</v>
      </c>
      <c r="AR67" s="80">
        <v>48</v>
      </c>
      <c r="AS67" s="80">
        <v>34</v>
      </c>
      <c r="AT67" s="80">
        <v>58</v>
      </c>
      <c r="AU67" s="80">
        <v>34</v>
      </c>
      <c r="AV67" s="80">
        <v>44</v>
      </c>
      <c r="AW67" s="80">
        <v>40</v>
      </c>
      <c r="AX67" s="80">
        <v>46</v>
      </c>
      <c r="AY67" s="80">
        <v>38</v>
      </c>
      <c r="AZ67" s="80">
        <v>26</v>
      </c>
      <c r="BA67" s="80">
        <v>62</v>
      </c>
      <c r="BB67" s="80">
        <v>30</v>
      </c>
      <c r="BC67" s="80">
        <v>61</v>
      </c>
      <c r="BD67" s="81">
        <v>18</v>
      </c>
      <c r="BE67" s="81">
        <v>31</v>
      </c>
      <c r="BF67" s="81">
        <v>24</v>
      </c>
      <c r="BG67" s="81">
        <v>24</v>
      </c>
      <c r="BH67" s="81">
        <v>20</v>
      </c>
      <c r="BI67" s="81">
        <v>20</v>
      </c>
    </row>
    <row r="68" spans="1:61" s="81" customFormat="1" ht="18.75" customHeight="1">
      <c r="A68" s="80" t="s">
        <v>149</v>
      </c>
      <c r="B68" s="80"/>
      <c r="C68" s="80"/>
      <c r="D68" s="80"/>
      <c r="E68" s="80"/>
      <c r="F68" s="80"/>
      <c r="G68" s="80"/>
      <c r="H68" s="80">
        <v>21</v>
      </c>
      <c r="I68" s="80">
        <v>20</v>
      </c>
      <c r="J68" s="80">
        <v>20</v>
      </c>
      <c r="K68" s="80">
        <v>30</v>
      </c>
      <c r="L68" s="84">
        <v>32</v>
      </c>
      <c r="M68" s="84">
        <v>23</v>
      </c>
      <c r="N68" s="84">
        <v>16</v>
      </c>
      <c r="O68" s="84">
        <v>28</v>
      </c>
      <c r="P68" s="84">
        <v>21</v>
      </c>
      <c r="Q68" s="84">
        <v>28</v>
      </c>
      <c r="R68" s="84">
        <v>45</v>
      </c>
      <c r="S68" s="80">
        <v>32</v>
      </c>
      <c r="T68" s="80">
        <v>18</v>
      </c>
      <c r="U68" s="80">
        <v>12</v>
      </c>
      <c r="V68" s="80">
        <v>21</v>
      </c>
      <c r="W68" s="80">
        <v>19</v>
      </c>
      <c r="X68" s="80">
        <v>26</v>
      </c>
      <c r="Y68" s="80">
        <v>66</v>
      </c>
      <c r="Z68" s="80">
        <v>36</v>
      </c>
      <c r="AA68" s="80">
        <v>48</v>
      </c>
      <c r="AB68" s="80">
        <v>30</v>
      </c>
      <c r="AC68" s="80">
        <v>22</v>
      </c>
      <c r="AD68" s="80">
        <v>26</v>
      </c>
      <c r="AE68" s="80">
        <v>24</v>
      </c>
      <c r="AF68" s="80">
        <v>21</v>
      </c>
      <c r="AG68" s="80">
        <v>28</v>
      </c>
      <c r="AH68" s="80">
        <v>27</v>
      </c>
      <c r="AI68" s="80">
        <v>32</v>
      </c>
      <c r="AJ68" s="80">
        <v>32</v>
      </c>
      <c r="AK68" s="80">
        <v>58</v>
      </c>
      <c r="AL68" s="80">
        <v>20</v>
      </c>
      <c r="AM68" s="80">
        <v>32</v>
      </c>
      <c r="AN68" s="80">
        <v>35</v>
      </c>
      <c r="AO68" s="80">
        <v>46</v>
      </c>
      <c r="AP68" s="80">
        <v>41</v>
      </c>
      <c r="AQ68" s="80">
        <v>30</v>
      </c>
      <c r="AR68" s="80">
        <v>49</v>
      </c>
      <c r="AS68" s="80">
        <v>30</v>
      </c>
      <c r="AT68" s="80">
        <v>50</v>
      </c>
      <c r="AU68" s="80">
        <v>34</v>
      </c>
      <c r="AV68" s="80">
        <v>46</v>
      </c>
      <c r="AW68" s="80">
        <v>30</v>
      </c>
      <c r="AX68" s="80">
        <v>46</v>
      </c>
      <c r="AY68" s="80">
        <v>38</v>
      </c>
      <c r="AZ68" s="80">
        <v>22</v>
      </c>
      <c r="BA68" s="80">
        <v>52</v>
      </c>
      <c r="BB68" s="80">
        <v>30</v>
      </c>
      <c r="BC68" s="80">
        <v>59</v>
      </c>
      <c r="BD68" s="81">
        <v>16</v>
      </c>
      <c r="BE68" s="81">
        <v>32</v>
      </c>
      <c r="BF68" s="81">
        <v>24</v>
      </c>
      <c r="BG68" s="81">
        <v>20</v>
      </c>
      <c r="BH68" s="81">
        <v>20</v>
      </c>
      <c r="BI68" s="81">
        <v>20</v>
      </c>
    </row>
    <row r="69" spans="1:61" s="81" customFormat="1" ht="18.75" customHeight="1">
      <c r="A69" s="80" t="s">
        <v>150</v>
      </c>
      <c r="B69" s="80">
        <v>11</v>
      </c>
      <c r="C69" s="80">
        <v>14</v>
      </c>
      <c r="D69" s="80">
        <v>14</v>
      </c>
      <c r="E69" s="80">
        <v>13</v>
      </c>
      <c r="F69" s="80"/>
      <c r="G69" s="80"/>
      <c r="H69" s="80">
        <v>16</v>
      </c>
      <c r="I69" s="80">
        <v>13</v>
      </c>
      <c r="J69" s="80">
        <v>12</v>
      </c>
      <c r="K69" s="80">
        <v>14</v>
      </c>
      <c r="L69" s="84">
        <v>20</v>
      </c>
      <c r="M69" s="84">
        <v>20</v>
      </c>
      <c r="N69" s="84">
        <v>10</v>
      </c>
      <c r="O69" s="84">
        <v>15</v>
      </c>
      <c r="P69" s="84">
        <v>11</v>
      </c>
      <c r="Q69" s="84">
        <v>10</v>
      </c>
      <c r="R69" s="84">
        <v>20</v>
      </c>
      <c r="S69" s="80">
        <v>8</v>
      </c>
      <c r="T69" s="80">
        <v>11</v>
      </c>
      <c r="U69" s="80">
        <v>8</v>
      </c>
      <c r="V69" s="80">
        <v>14</v>
      </c>
      <c r="W69" s="80">
        <v>14</v>
      </c>
      <c r="X69" s="80">
        <v>18</v>
      </c>
      <c r="Y69" s="80"/>
      <c r="Z69" s="80"/>
      <c r="AA69" s="80"/>
      <c r="AB69" s="80"/>
      <c r="AC69" s="80"/>
      <c r="AD69" s="80"/>
      <c r="AE69" s="80"/>
      <c r="AF69" s="80">
        <v>10</v>
      </c>
      <c r="AG69" s="80">
        <v>10</v>
      </c>
      <c r="AH69" s="80">
        <v>11</v>
      </c>
      <c r="AI69" s="80">
        <v>16</v>
      </c>
      <c r="AJ69" s="80">
        <v>13</v>
      </c>
      <c r="AK69" s="80">
        <v>22</v>
      </c>
      <c r="AL69" s="80">
        <v>15</v>
      </c>
      <c r="AM69" s="80">
        <v>8</v>
      </c>
      <c r="AN69" s="80">
        <v>13</v>
      </c>
      <c r="AO69" s="80">
        <v>15</v>
      </c>
      <c r="AP69" s="80"/>
      <c r="AQ69" s="80">
        <v>14</v>
      </c>
      <c r="AR69" s="80">
        <v>17</v>
      </c>
      <c r="AS69" s="80">
        <v>10</v>
      </c>
      <c r="AT69" s="80">
        <v>12</v>
      </c>
      <c r="AU69" s="80">
        <v>21</v>
      </c>
      <c r="AV69" s="80">
        <v>20</v>
      </c>
      <c r="AW69" s="80">
        <v>12</v>
      </c>
      <c r="AX69" s="80">
        <v>13</v>
      </c>
      <c r="AY69" s="80">
        <v>10</v>
      </c>
      <c r="AZ69" s="80">
        <v>10</v>
      </c>
      <c r="BA69" s="80">
        <v>16</v>
      </c>
      <c r="BB69" s="80">
        <v>15</v>
      </c>
      <c r="BC69" s="80">
        <v>18</v>
      </c>
      <c r="BD69" s="81">
        <v>13</v>
      </c>
      <c r="BE69" s="81">
        <v>25</v>
      </c>
      <c r="BF69" s="81">
        <v>22</v>
      </c>
      <c r="BG69" s="81">
        <v>14</v>
      </c>
      <c r="BH69" s="81">
        <v>11</v>
      </c>
      <c r="BI69" s="81">
        <v>12</v>
      </c>
    </row>
    <row r="70" spans="1:61" s="81" customFormat="1" ht="18.75" customHeight="1">
      <c r="A70" s="83" t="s">
        <v>151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4">
        <v>30</v>
      </c>
      <c r="M70" s="84">
        <v>8</v>
      </c>
      <c r="N70" s="84">
        <v>12.5</v>
      </c>
      <c r="O70" s="84">
        <v>4</v>
      </c>
      <c r="P70" s="84">
        <v>12.5</v>
      </c>
      <c r="Q70" s="84">
        <v>-8</v>
      </c>
      <c r="R70" s="84">
        <v>10</v>
      </c>
      <c r="S70" s="80">
        <v>-26</v>
      </c>
      <c r="T70" s="80">
        <v>6</v>
      </c>
      <c r="U70" s="80">
        <v>3</v>
      </c>
      <c r="V70" s="80">
        <v>5</v>
      </c>
      <c r="W70" s="80"/>
      <c r="X70" s="80">
        <v>17</v>
      </c>
      <c r="Y70" s="80">
        <v>20</v>
      </c>
      <c r="Z70" s="80">
        <v>17</v>
      </c>
      <c r="AA70" s="80">
        <v>6</v>
      </c>
      <c r="AB70" s="80">
        <v>3</v>
      </c>
      <c r="AC70" s="80">
        <v>16</v>
      </c>
      <c r="AD70" s="80">
        <v>14</v>
      </c>
      <c r="AE70" s="80">
        <v>9</v>
      </c>
      <c r="AF70" s="80">
        <v>19</v>
      </c>
      <c r="AG70" s="80">
        <v>14</v>
      </c>
      <c r="AH70" s="80">
        <v>7</v>
      </c>
      <c r="AI70" s="80">
        <v>-18</v>
      </c>
      <c r="AJ70" s="80">
        <v>23</v>
      </c>
      <c r="AK70" s="80">
        <v>2</v>
      </c>
      <c r="AL70" s="80">
        <v>21</v>
      </c>
      <c r="AM70" s="80">
        <v>15</v>
      </c>
      <c r="AN70" s="80">
        <v>20</v>
      </c>
      <c r="AO70" s="80">
        <v>5</v>
      </c>
      <c r="AP70" s="80">
        <v>7</v>
      </c>
      <c r="AQ70" s="80">
        <v>12</v>
      </c>
      <c r="AR70" s="80">
        <v>4</v>
      </c>
      <c r="AS70" s="80">
        <v>-6</v>
      </c>
      <c r="AT70" s="80">
        <v>7</v>
      </c>
      <c r="AU70" s="80">
        <v>22</v>
      </c>
      <c r="AV70" s="80">
        <v>9</v>
      </c>
      <c r="AW70" s="80">
        <v>15</v>
      </c>
      <c r="AX70" s="80">
        <v>3</v>
      </c>
      <c r="AY70" s="80">
        <v>10</v>
      </c>
      <c r="AZ70" s="80">
        <v>3</v>
      </c>
      <c r="BA70" s="80">
        <v>19</v>
      </c>
      <c r="BB70" s="80">
        <v>27</v>
      </c>
      <c r="BC70" s="80">
        <v>10</v>
      </c>
      <c r="BD70" s="81">
        <v>0</v>
      </c>
      <c r="BE70" s="81">
        <v>11</v>
      </c>
      <c r="BF70" s="81">
        <v>22</v>
      </c>
      <c r="BG70" s="81">
        <v>16</v>
      </c>
      <c r="BH70" s="81">
        <v>16</v>
      </c>
      <c r="BI70" s="81">
        <v>-1</v>
      </c>
    </row>
    <row r="71" spans="1:61" s="81" customFormat="1" ht="18.75" customHeight="1">
      <c r="A71" s="80" t="s">
        <v>152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4"/>
      <c r="M71" s="84"/>
      <c r="N71" s="84"/>
      <c r="O71" s="84"/>
      <c r="P71" s="84"/>
      <c r="Q71" s="84"/>
      <c r="R71" s="84"/>
      <c r="S71" s="80"/>
      <c r="T71" s="80"/>
      <c r="U71" s="80"/>
      <c r="V71" s="80"/>
      <c r="W71" s="80" t="s">
        <v>153</v>
      </c>
      <c r="X71" s="80" t="s">
        <v>154</v>
      </c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 t="s">
        <v>155</v>
      </c>
      <c r="AQ71" s="80"/>
      <c r="AR71" s="80" t="s">
        <v>156</v>
      </c>
      <c r="AS71" s="80"/>
      <c r="AT71" s="80" t="s">
        <v>157</v>
      </c>
      <c r="AU71" s="80" t="s">
        <v>158</v>
      </c>
      <c r="AV71" s="80" t="s">
        <v>159</v>
      </c>
      <c r="AW71" s="80"/>
      <c r="AX71" s="80"/>
      <c r="AY71" s="80"/>
      <c r="AZ71" s="80"/>
      <c r="BA71" s="80" t="s">
        <v>160</v>
      </c>
      <c r="BB71" s="80"/>
      <c r="BC71" s="80" t="s">
        <v>161</v>
      </c>
      <c r="BI71" s="81" t="s">
        <v>162</v>
      </c>
    </row>
    <row r="72" spans="1:61" s="81" customFormat="1" ht="18.75" customHeight="1">
      <c r="A72" s="80" t="s">
        <v>163</v>
      </c>
      <c r="B72" s="80"/>
      <c r="C72" s="80">
        <v>1</v>
      </c>
      <c r="D72" s="80">
        <v>4</v>
      </c>
      <c r="E72" s="80">
        <v>2</v>
      </c>
      <c r="F72" s="80">
        <v>3</v>
      </c>
      <c r="G72" s="80">
        <v>3</v>
      </c>
      <c r="H72" s="80">
        <v>2</v>
      </c>
      <c r="I72" s="80">
        <v>7</v>
      </c>
      <c r="J72" s="80">
        <v>7</v>
      </c>
      <c r="K72" s="80"/>
      <c r="L72" s="84">
        <v>4</v>
      </c>
      <c r="M72" s="84"/>
      <c r="N72" s="84"/>
      <c r="O72" s="84"/>
      <c r="P72" s="84"/>
      <c r="Q72" s="84"/>
      <c r="R72" s="84">
        <v>3</v>
      </c>
      <c r="S72" s="80"/>
      <c r="T72" s="80"/>
      <c r="U72" s="80"/>
      <c r="V72" s="80"/>
      <c r="W72" s="80"/>
      <c r="X72" s="80">
        <v>3</v>
      </c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</row>
    <row r="73" spans="1:61" s="81" customFormat="1" ht="18.75" customHeight="1">
      <c r="A73" s="80" t="s">
        <v>164</v>
      </c>
      <c r="B73" s="80"/>
      <c r="C73" s="80">
        <v>80</v>
      </c>
      <c r="D73" s="80">
        <v>80</v>
      </c>
      <c r="E73" s="80">
        <v>60</v>
      </c>
      <c r="F73" s="80">
        <v>30</v>
      </c>
      <c r="G73" s="80">
        <v>60</v>
      </c>
      <c r="H73" s="80">
        <v>180</v>
      </c>
      <c r="I73" s="80">
        <v>150</v>
      </c>
      <c r="J73" s="80">
        <v>270</v>
      </c>
      <c r="K73" s="80"/>
      <c r="L73" s="84">
        <v>120</v>
      </c>
      <c r="M73" s="84"/>
      <c r="N73" s="84"/>
      <c r="O73" s="84"/>
      <c r="P73" s="84"/>
      <c r="Q73" s="84"/>
      <c r="R73" s="84">
        <v>30</v>
      </c>
      <c r="S73" s="80"/>
      <c r="T73" s="80"/>
      <c r="U73" s="80"/>
      <c r="V73" s="80"/>
      <c r="W73" s="80"/>
      <c r="X73" s="80">
        <v>60</v>
      </c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</row>
    <row r="74" spans="1:61" s="81" customFormat="1" ht="18.75" customHeight="1">
      <c r="A74" s="80" t="s">
        <v>165</v>
      </c>
      <c r="B74" s="80"/>
      <c r="C74" s="80">
        <v>3</v>
      </c>
      <c r="D74" s="80"/>
      <c r="E74" s="80"/>
      <c r="F74" s="80">
        <v>4</v>
      </c>
      <c r="G74" s="80">
        <v>7</v>
      </c>
      <c r="H74" s="80"/>
      <c r="I74" s="80"/>
      <c r="J74" s="80">
        <v>7</v>
      </c>
      <c r="K74" s="80">
        <v>2</v>
      </c>
      <c r="L74" s="84">
        <v>0</v>
      </c>
      <c r="M74" s="84">
        <v>1</v>
      </c>
      <c r="N74" s="84">
        <v>3</v>
      </c>
      <c r="O74" s="84">
        <v>7</v>
      </c>
      <c r="P74" s="84"/>
      <c r="Q74" s="84"/>
      <c r="R74" s="84">
        <v>3</v>
      </c>
      <c r="S74" s="80"/>
      <c r="T74" s="80"/>
      <c r="U74" s="80">
        <v>2</v>
      </c>
      <c r="V74" s="80">
        <v>6</v>
      </c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E74" s="81">
        <v>6</v>
      </c>
      <c r="BF74" s="81">
        <v>1</v>
      </c>
      <c r="BG74" s="81">
        <v>6</v>
      </c>
      <c r="BH74" s="81">
        <v>4</v>
      </c>
    </row>
    <row r="75" spans="1:61" s="81" customFormat="1" ht="18.75" customHeight="1">
      <c r="A75" s="80" t="s">
        <v>166</v>
      </c>
      <c r="B75" s="80"/>
      <c r="C75" s="80">
        <v>180</v>
      </c>
      <c r="D75" s="80"/>
      <c r="E75" s="80"/>
      <c r="F75" s="80">
        <v>30</v>
      </c>
      <c r="G75" s="80">
        <v>60</v>
      </c>
      <c r="H75" s="80"/>
      <c r="I75" s="80"/>
      <c r="J75" s="80">
        <v>300</v>
      </c>
      <c r="K75" s="80">
        <v>30</v>
      </c>
      <c r="L75" s="84">
        <v>0</v>
      </c>
      <c r="M75" s="84">
        <v>60</v>
      </c>
      <c r="N75" s="84">
        <v>60</v>
      </c>
      <c r="O75" s="84">
        <v>60</v>
      </c>
      <c r="P75" s="84"/>
      <c r="Q75" s="84"/>
      <c r="R75" s="84">
        <v>30</v>
      </c>
      <c r="S75" s="80"/>
      <c r="T75" s="80"/>
      <c r="U75" s="80">
        <v>60</v>
      </c>
      <c r="V75" s="80">
        <v>30</v>
      </c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E75" s="81">
        <v>10</v>
      </c>
      <c r="BF75" s="81">
        <v>90</v>
      </c>
      <c r="BG75" s="81">
        <v>30</v>
      </c>
      <c r="BH75" s="81">
        <v>90</v>
      </c>
    </row>
    <row r="76" spans="1:61" s="81" customFormat="1" ht="18.75" customHeight="1">
      <c r="A76" s="80" t="s">
        <v>167</v>
      </c>
      <c r="B76" s="80">
        <v>7</v>
      </c>
      <c r="C76" s="80">
        <v>7</v>
      </c>
      <c r="D76" s="80">
        <v>5</v>
      </c>
      <c r="E76" s="80">
        <v>7</v>
      </c>
      <c r="F76" s="80">
        <v>7</v>
      </c>
      <c r="G76" s="80">
        <v>7</v>
      </c>
      <c r="H76" s="80">
        <v>7</v>
      </c>
      <c r="I76" s="80">
        <v>7</v>
      </c>
      <c r="J76" s="80">
        <v>7</v>
      </c>
      <c r="K76" s="80">
        <v>3</v>
      </c>
      <c r="L76" s="84">
        <v>7</v>
      </c>
      <c r="M76" s="84">
        <v>7</v>
      </c>
      <c r="N76" s="84">
        <v>7</v>
      </c>
      <c r="O76" s="84">
        <v>7</v>
      </c>
      <c r="P76" s="84"/>
      <c r="Q76" s="84"/>
      <c r="R76" s="84">
        <v>6</v>
      </c>
      <c r="S76" s="80">
        <v>7</v>
      </c>
      <c r="T76" s="80">
        <v>5</v>
      </c>
      <c r="U76" s="80">
        <v>7</v>
      </c>
      <c r="V76" s="80">
        <v>7</v>
      </c>
      <c r="W76" s="80">
        <v>7</v>
      </c>
      <c r="X76" s="80">
        <v>4</v>
      </c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1">
        <v>7</v>
      </c>
      <c r="BE76" s="81">
        <v>7</v>
      </c>
      <c r="BF76" s="81">
        <v>5</v>
      </c>
      <c r="BG76" s="81">
        <v>6</v>
      </c>
      <c r="BH76" s="81">
        <v>4</v>
      </c>
      <c r="BI76" s="81">
        <v>7</v>
      </c>
    </row>
    <row r="77" spans="1:61" s="81" customFormat="1" ht="18.75" customHeight="1">
      <c r="A77" s="80" t="s">
        <v>168</v>
      </c>
      <c r="B77" s="80">
        <v>30</v>
      </c>
      <c r="C77" s="80">
        <v>180</v>
      </c>
      <c r="D77" s="80">
        <v>60</v>
      </c>
      <c r="E77" s="80">
        <v>40</v>
      </c>
      <c r="F77" s="80">
        <v>40</v>
      </c>
      <c r="G77" s="80">
        <v>60</v>
      </c>
      <c r="H77" s="80">
        <v>150</v>
      </c>
      <c r="I77" s="80">
        <v>45</v>
      </c>
      <c r="J77" s="80">
        <v>60</v>
      </c>
      <c r="K77" s="80">
        <v>40</v>
      </c>
      <c r="L77" s="84">
        <v>30</v>
      </c>
      <c r="M77" s="84">
        <v>120</v>
      </c>
      <c r="N77" s="84">
        <v>60</v>
      </c>
      <c r="O77" s="84">
        <v>40</v>
      </c>
      <c r="P77" s="84"/>
      <c r="Q77" s="84"/>
      <c r="R77" s="84">
        <v>30</v>
      </c>
      <c r="S77" s="80">
        <v>60</v>
      </c>
      <c r="T77" s="80">
        <v>60</v>
      </c>
      <c r="U77" s="80">
        <v>120</v>
      </c>
      <c r="V77" s="80">
        <v>30</v>
      </c>
      <c r="W77" s="80">
        <v>30</v>
      </c>
      <c r="X77" s="80">
        <v>60</v>
      </c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1">
        <v>50</v>
      </c>
      <c r="BE77" s="81">
        <v>50</v>
      </c>
      <c r="BF77" s="81">
        <v>60</v>
      </c>
      <c r="BG77" s="81">
        <v>30</v>
      </c>
      <c r="BH77" s="81">
        <v>30</v>
      </c>
      <c r="BI77" s="81">
        <v>60</v>
      </c>
    </row>
    <row r="78" spans="1:61" s="81" customFormat="1" ht="18.75" customHeight="1">
      <c r="A78" s="80" t="s">
        <v>169</v>
      </c>
      <c r="B78" s="80">
        <v>120</v>
      </c>
      <c r="C78" s="80">
        <v>120</v>
      </c>
      <c r="D78" s="80">
        <v>240</v>
      </c>
      <c r="E78" s="80">
        <v>240</v>
      </c>
      <c r="F78" s="80">
        <v>40</v>
      </c>
      <c r="G78" s="80">
        <v>60</v>
      </c>
      <c r="H78" s="80">
        <v>150</v>
      </c>
      <c r="I78" s="80">
        <v>30</v>
      </c>
      <c r="J78" s="80">
        <v>360</v>
      </c>
      <c r="K78" s="80">
        <v>420</v>
      </c>
      <c r="L78" s="84">
        <v>480</v>
      </c>
      <c r="M78" s="84">
        <v>240</v>
      </c>
      <c r="N78" s="84">
        <v>120</v>
      </c>
      <c r="O78" s="84">
        <v>180</v>
      </c>
      <c r="P78" s="84">
        <v>240</v>
      </c>
      <c r="Q78" s="84">
        <v>120</v>
      </c>
      <c r="R78" s="84">
        <v>360</v>
      </c>
      <c r="S78" s="80">
        <v>180</v>
      </c>
      <c r="T78" s="80">
        <v>240</v>
      </c>
      <c r="U78" s="80">
        <v>180</v>
      </c>
      <c r="V78" s="80"/>
      <c r="W78" s="80">
        <v>240</v>
      </c>
      <c r="X78" s="80">
        <v>240</v>
      </c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1">
        <v>60</v>
      </c>
      <c r="BE78" s="81">
        <v>240</v>
      </c>
      <c r="BF78" s="81">
        <v>420</v>
      </c>
      <c r="BG78" s="81">
        <v>120</v>
      </c>
      <c r="BH78" s="81">
        <f>60*12</f>
        <v>720</v>
      </c>
      <c r="BI78" s="81">
        <f>60*7</f>
        <v>420</v>
      </c>
    </row>
    <row r="79" spans="1:61" s="81" customFormat="1" ht="18.75" customHeight="1">
      <c r="A79" s="80" t="s">
        <v>170</v>
      </c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4"/>
      <c r="M79" s="84"/>
      <c r="N79" s="84"/>
      <c r="O79" s="84"/>
      <c r="P79" s="84"/>
      <c r="Q79" s="84"/>
      <c r="R79" s="84"/>
      <c r="S79" s="80">
        <v>0</v>
      </c>
      <c r="T79" s="80">
        <v>0</v>
      </c>
      <c r="U79" s="80">
        <v>0</v>
      </c>
      <c r="V79" s="80">
        <v>0</v>
      </c>
      <c r="W79" s="80">
        <v>0</v>
      </c>
      <c r="X79" s="80">
        <v>0</v>
      </c>
      <c r="Y79" s="80" t="s">
        <v>65</v>
      </c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1">
        <v>0</v>
      </c>
      <c r="BE79" s="81">
        <v>0</v>
      </c>
      <c r="BF79" s="81">
        <v>0</v>
      </c>
      <c r="BG79" s="81">
        <v>0</v>
      </c>
      <c r="BH79" s="81">
        <v>0</v>
      </c>
      <c r="BI79" s="81">
        <v>0</v>
      </c>
    </row>
    <row r="80" spans="1:61" s="81" customFormat="1" ht="18.75" customHeight="1">
      <c r="A80" s="80" t="s">
        <v>171</v>
      </c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4"/>
      <c r="M80" s="84"/>
      <c r="N80" s="84"/>
      <c r="O80" s="84"/>
      <c r="P80" s="84"/>
      <c r="Q80" s="84"/>
      <c r="R80" s="84"/>
      <c r="S80" s="80">
        <v>0</v>
      </c>
      <c r="T80" s="80">
        <v>1</v>
      </c>
      <c r="U80" s="80">
        <v>0</v>
      </c>
      <c r="V80" s="80">
        <v>0</v>
      </c>
      <c r="W80" s="80">
        <v>1</v>
      </c>
      <c r="X80" s="80">
        <v>1</v>
      </c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1">
        <v>0</v>
      </c>
      <c r="BE80" s="81">
        <v>0</v>
      </c>
      <c r="BF80" s="81">
        <v>0</v>
      </c>
      <c r="BG80" s="81">
        <v>0</v>
      </c>
      <c r="BH80" s="81">
        <v>0</v>
      </c>
      <c r="BI80" s="81">
        <v>0</v>
      </c>
    </row>
    <row r="81" spans="1:61" s="81" customFormat="1" ht="18.75" customHeight="1">
      <c r="A81" s="80" t="s">
        <v>172</v>
      </c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4"/>
      <c r="M81" s="84"/>
      <c r="N81" s="84"/>
      <c r="O81" s="84"/>
      <c r="P81" s="84"/>
      <c r="Q81" s="84"/>
      <c r="R81" s="84"/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1">
        <v>0</v>
      </c>
      <c r="BE81" s="81">
        <v>0</v>
      </c>
      <c r="BF81" s="81">
        <v>0</v>
      </c>
      <c r="BG81" s="81">
        <v>0</v>
      </c>
      <c r="BH81" s="81">
        <v>0</v>
      </c>
      <c r="BI81" s="81">
        <v>0</v>
      </c>
    </row>
    <row r="82" spans="1:61" s="81" customFormat="1" ht="18.75" customHeight="1">
      <c r="A82" s="80" t="s">
        <v>173</v>
      </c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4"/>
      <c r="M82" s="84"/>
      <c r="N82" s="84"/>
      <c r="O82" s="84"/>
      <c r="P82" s="84"/>
      <c r="Q82" s="84"/>
      <c r="R82" s="84"/>
      <c r="S82" s="80">
        <v>0</v>
      </c>
      <c r="T82" s="80">
        <v>1</v>
      </c>
      <c r="U82" s="80">
        <v>0</v>
      </c>
      <c r="V82" s="80">
        <v>0</v>
      </c>
      <c r="W82" s="80">
        <v>1</v>
      </c>
      <c r="X82" s="80">
        <v>1</v>
      </c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1">
        <v>0</v>
      </c>
      <c r="BE82" s="81">
        <v>0</v>
      </c>
      <c r="BF82" s="81">
        <v>1</v>
      </c>
      <c r="BG82" s="81">
        <v>0</v>
      </c>
      <c r="BH82" s="81">
        <v>0</v>
      </c>
      <c r="BI82" s="81">
        <v>0</v>
      </c>
    </row>
    <row r="83" spans="1:61" s="81" customFormat="1" ht="18.75" customHeight="1">
      <c r="A83" s="80" t="s">
        <v>174</v>
      </c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4"/>
      <c r="M83" s="84"/>
      <c r="N83" s="84"/>
      <c r="O83" s="84"/>
      <c r="P83" s="84"/>
      <c r="Q83" s="84"/>
      <c r="R83" s="84"/>
      <c r="S83" s="80">
        <v>0</v>
      </c>
      <c r="T83" s="80">
        <v>1</v>
      </c>
      <c r="U83" s="80">
        <v>1</v>
      </c>
      <c r="V83" s="80">
        <v>0</v>
      </c>
      <c r="W83" s="80">
        <v>1</v>
      </c>
      <c r="X83" s="80">
        <v>0</v>
      </c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1">
        <v>1</v>
      </c>
      <c r="BE83" s="81">
        <v>0</v>
      </c>
      <c r="BF83" s="81">
        <v>0</v>
      </c>
      <c r="BG83" s="81">
        <v>1</v>
      </c>
      <c r="BH83" s="81">
        <v>1</v>
      </c>
      <c r="BI83" s="81">
        <v>0</v>
      </c>
    </row>
    <row r="84" spans="1:61" s="81" customFormat="1" ht="18.75" customHeight="1">
      <c r="A84" s="80" t="s">
        <v>175</v>
      </c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4"/>
      <c r="M84" s="84"/>
      <c r="N84" s="84"/>
      <c r="O84" s="84"/>
      <c r="P84" s="84"/>
      <c r="Q84" s="84"/>
      <c r="R84" s="84"/>
      <c r="S84" s="80">
        <v>0</v>
      </c>
      <c r="T84" s="80">
        <v>1</v>
      </c>
      <c r="U84" s="80">
        <v>1</v>
      </c>
      <c r="V84" s="80">
        <v>1</v>
      </c>
      <c r="W84" s="80">
        <v>0</v>
      </c>
      <c r="X84" s="80">
        <v>1</v>
      </c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1">
        <v>1</v>
      </c>
      <c r="BE84" s="81">
        <v>0</v>
      </c>
      <c r="BF84" s="81">
        <v>1</v>
      </c>
      <c r="BG84" s="81">
        <v>1</v>
      </c>
      <c r="BH84" s="81">
        <v>1</v>
      </c>
      <c r="BI84" s="81">
        <v>0</v>
      </c>
    </row>
    <row r="85" spans="1:61" s="81" customFormat="1" ht="18.75" customHeight="1">
      <c r="A85" s="80" t="s">
        <v>176</v>
      </c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4"/>
      <c r="M85" s="84"/>
      <c r="N85" s="84"/>
      <c r="O85" s="84"/>
      <c r="P85" s="84"/>
      <c r="Q85" s="84"/>
      <c r="R85" s="84"/>
      <c r="S85" s="80">
        <v>0</v>
      </c>
      <c r="T85" s="80">
        <v>0</v>
      </c>
      <c r="U85" s="80">
        <v>1</v>
      </c>
      <c r="V85" s="80">
        <v>0</v>
      </c>
      <c r="W85" s="80">
        <v>0</v>
      </c>
      <c r="X85" s="80">
        <v>0</v>
      </c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1">
        <v>0</v>
      </c>
      <c r="BE85" s="81">
        <v>0</v>
      </c>
      <c r="BF85" s="81">
        <v>0</v>
      </c>
      <c r="BG85" s="81">
        <v>0</v>
      </c>
      <c r="BH85" s="81">
        <v>0</v>
      </c>
      <c r="BI85" s="81">
        <v>0</v>
      </c>
    </row>
    <row r="86" spans="1:61" s="81" customFormat="1" ht="18.75" customHeight="1">
      <c r="A86" s="80" t="s">
        <v>177</v>
      </c>
      <c r="B86" s="80"/>
      <c r="C86" s="80"/>
      <c r="D86" s="80"/>
      <c r="E86" s="80"/>
      <c r="F86" s="80"/>
      <c r="G86" s="80"/>
      <c r="H86" s="80"/>
      <c r="I86" s="80"/>
      <c r="J86" s="80"/>
      <c r="K86" s="80"/>
      <c r="L86" s="84"/>
      <c r="M86" s="84"/>
      <c r="N86" s="84"/>
      <c r="O86" s="84"/>
      <c r="P86" s="84"/>
      <c r="Q86" s="84"/>
      <c r="R86" s="84"/>
      <c r="S86" s="80"/>
      <c r="T86" s="80">
        <v>1</v>
      </c>
      <c r="U86" s="80">
        <v>1</v>
      </c>
      <c r="V86" s="80">
        <v>1</v>
      </c>
      <c r="W86" s="80" t="s">
        <v>178</v>
      </c>
      <c r="X86" s="80">
        <v>0</v>
      </c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1">
        <v>1</v>
      </c>
      <c r="BE86" s="81">
        <v>1</v>
      </c>
      <c r="BF86" s="81">
        <v>1</v>
      </c>
      <c r="BG86" s="81">
        <v>1</v>
      </c>
      <c r="BH86" s="81">
        <v>1</v>
      </c>
      <c r="BI86" s="81">
        <v>1</v>
      </c>
    </row>
    <row r="87" spans="1:61" s="81" customFormat="1" ht="18.75" customHeight="1">
      <c r="A87" s="80" t="s">
        <v>179</v>
      </c>
      <c r="B87" s="80"/>
      <c r="C87" s="80"/>
      <c r="D87" s="80"/>
      <c r="E87" s="80"/>
      <c r="F87" s="80"/>
      <c r="G87" s="80"/>
      <c r="H87" s="80"/>
      <c r="I87" s="80"/>
      <c r="J87" s="80"/>
      <c r="K87" s="80"/>
      <c r="L87" s="84"/>
      <c r="M87" s="84"/>
      <c r="N87" s="84"/>
      <c r="O87" s="84" t="s">
        <v>180</v>
      </c>
      <c r="P87" s="84" t="s">
        <v>181</v>
      </c>
      <c r="Q87" s="84" t="s">
        <v>182</v>
      </c>
      <c r="R87" s="84"/>
      <c r="S87" s="80" t="s">
        <v>183</v>
      </c>
      <c r="T87" s="80" t="s">
        <v>184</v>
      </c>
      <c r="U87" s="80" t="s">
        <v>185</v>
      </c>
      <c r="V87" s="80" t="s">
        <v>186</v>
      </c>
      <c r="W87" s="80" t="s">
        <v>187</v>
      </c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1" t="s">
        <v>188</v>
      </c>
      <c r="BE87" s="81" t="s">
        <v>189</v>
      </c>
      <c r="BF87" s="81" t="s">
        <v>190</v>
      </c>
      <c r="BG87" s="81" t="s">
        <v>191</v>
      </c>
      <c r="BH87" s="81" t="s">
        <v>192</v>
      </c>
      <c r="BI87" s="81" t="s">
        <v>193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2A6C1-EDEE-4F5E-8588-869C77CC2E7E}">
  <sheetPr codeName="Sheet15"/>
  <dimension ref="A1:T23"/>
  <sheetViews>
    <sheetView workbookViewId="0">
      <selection activeCell="J28" sqref="J28"/>
    </sheetView>
  </sheetViews>
  <sheetFormatPr defaultColWidth="8.59765625" defaultRowHeight="15.6"/>
  <cols>
    <col min="1" max="1" width="15" style="52" bestFit="1" customWidth="1"/>
    <col min="2" max="2" width="6.09765625" style="52" bestFit="1" customWidth="1"/>
    <col min="3" max="4" width="7.69921875" style="52" bestFit="1" customWidth="1"/>
    <col min="5" max="5" width="6.09765625" style="52" bestFit="1" customWidth="1"/>
    <col min="6" max="6" width="3" style="52" bestFit="1" customWidth="1"/>
    <col min="7" max="7" width="8.59765625" style="52"/>
    <col min="8" max="8" width="15" style="52" bestFit="1" customWidth="1"/>
    <col min="9" max="9" width="6.09765625" style="52" bestFit="1" customWidth="1"/>
    <col min="10" max="10" width="7.69921875" style="52" bestFit="1" customWidth="1"/>
    <col min="11" max="12" width="6.09765625" style="52" bestFit="1" customWidth="1"/>
    <col min="13" max="13" width="3" style="52" bestFit="1" customWidth="1"/>
    <col min="14" max="14" width="8.59765625" style="52"/>
    <col min="15" max="15" width="15" style="52" bestFit="1" customWidth="1"/>
    <col min="16" max="16" width="6.09765625" style="52" bestFit="1" customWidth="1"/>
    <col min="17" max="17" width="7.69921875" style="52" bestFit="1" customWidth="1"/>
    <col min="18" max="19" width="6.09765625" style="52" bestFit="1" customWidth="1"/>
    <col min="20" max="20" width="3" style="52" bestFit="1" customWidth="1"/>
    <col min="21" max="16384" width="8.59765625" style="52"/>
  </cols>
  <sheetData>
    <row r="1" spans="1:20">
      <c r="A1" s="53" t="s">
        <v>194</v>
      </c>
      <c r="B1" s="53" t="s">
        <v>195</v>
      </c>
      <c r="C1" s="53" t="s">
        <v>196</v>
      </c>
      <c r="D1" s="53" t="s">
        <v>197</v>
      </c>
    </row>
    <row r="2" spans="1:20">
      <c r="A2" s="54" t="s">
        <v>198</v>
      </c>
      <c r="B2" s="54">
        <v>35</v>
      </c>
      <c r="C2" s="52" t="s">
        <v>199</v>
      </c>
      <c r="D2" s="52" t="s">
        <v>200</v>
      </c>
    </row>
    <row r="3" spans="1:20">
      <c r="A3" s="54" t="s">
        <v>201</v>
      </c>
      <c r="B3" s="54">
        <v>24</v>
      </c>
      <c r="C3" s="52" t="s">
        <v>202</v>
      </c>
      <c r="D3" s="52" t="s">
        <v>203</v>
      </c>
    </row>
    <row r="4" spans="1:20">
      <c r="A4" s="54" t="s">
        <v>204</v>
      </c>
      <c r="B4" s="54">
        <v>11</v>
      </c>
      <c r="C4" s="52" t="s">
        <v>205</v>
      </c>
      <c r="D4" s="52" t="s">
        <v>206</v>
      </c>
    </row>
    <row r="7" spans="1:20" s="55" customFormat="1">
      <c r="A7" s="85" t="s">
        <v>198</v>
      </c>
      <c r="B7" s="85"/>
      <c r="C7" s="85"/>
      <c r="D7" s="85"/>
      <c r="E7" s="85"/>
      <c r="F7" s="85"/>
      <c r="H7" s="85" t="s">
        <v>204</v>
      </c>
      <c r="I7" s="85"/>
      <c r="J7" s="85"/>
      <c r="K7" s="85"/>
      <c r="L7" s="85"/>
      <c r="M7" s="85"/>
      <c r="O7" s="85" t="s">
        <v>201</v>
      </c>
      <c r="P7" s="85"/>
      <c r="Q7" s="85"/>
      <c r="R7" s="85"/>
      <c r="S7" s="85"/>
      <c r="T7" s="85"/>
    </row>
    <row r="8" spans="1:20">
      <c r="A8" s="53" t="s">
        <v>207</v>
      </c>
      <c r="B8" s="53" t="s">
        <v>208</v>
      </c>
      <c r="C8" s="53" t="s">
        <v>209</v>
      </c>
      <c r="D8" s="53" t="s">
        <v>210</v>
      </c>
      <c r="E8" s="53" t="s">
        <v>211</v>
      </c>
      <c r="F8" s="53" t="s">
        <v>195</v>
      </c>
      <c r="H8" s="53" t="s">
        <v>207</v>
      </c>
      <c r="I8" s="53" t="s">
        <v>208</v>
      </c>
      <c r="J8" s="53" t="s">
        <v>209</v>
      </c>
      <c r="K8" s="53" t="s">
        <v>210</v>
      </c>
      <c r="L8" s="53" t="s">
        <v>211</v>
      </c>
      <c r="M8" s="53" t="s">
        <v>195</v>
      </c>
      <c r="O8" s="53" t="s">
        <v>207</v>
      </c>
      <c r="P8" s="53" t="s">
        <v>208</v>
      </c>
      <c r="Q8" s="53" t="s">
        <v>209</v>
      </c>
      <c r="R8" s="53" t="s">
        <v>210</v>
      </c>
      <c r="S8" s="53" t="s">
        <v>211</v>
      </c>
      <c r="T8" s="53" t="s">
        <v>195</v>
      </c>
    </row>
    <row r="9" spans="1:20">
      <c r="A9" s="52" t="s">
        <v>80</v>
      </c>
      <c r="B9" s="56">
        <v>38.285714285714285</v>
      </c>
      <c r="C9" s="56">
        <v>25.241855330070365</v>
      </c>
      <c r="D9" s="56">
        <v>18</v>
      </c>
      <c r="E9" s="56">
        <v>80</v>
      </c>
      <c r="F9" s="52">
        <v>35</v>
      </c>
      <c r="H9" s="52" t="s">
        <v>80</v>
      </c>
      <c r="I9" s="56">
        <v>74.63636363636364</v>
      </c>
      <c r="J9" s="56">
        <v>5.5726605364534318</v>
      </c>
      <c r="K9" s="56">
        <v>60</v>
      </c>
      <c r="L9" s="56">
        <v>80</v>
      </c>
      <c r="M9" s="52">
        <v>11</v>
      </c>
      <c r="O9" s="52" t="s">
        <v>80</v>
      </c>
      <c r="P9" s="56">
        <v>21.625</v>
      </c>
      <c r="Q9" s="56">
        <v>2.6012120920497979</v>
      </c>
      <c r="R9" s="56">
        <v>18</v>
      </c>
      <c r="S9" s="56">
        <v>27</v>
      </c>
      <c r="T9" s="52">
        <v>24</v>
      </c>
    </row>
    <row r="10" spans="1:20">
      <c r="A10" s="52" t="s">
        <v>81</v>
      </c>
      <c r="B10" s="56">
        <v>163.61714285714288</v>
      </c>
      <c r="C10" s="56">
        <v>9.2374393483413844</v>
      </c>
      <c r="D10" s="56">
        <v>148</v>
      </c>
      <c r="E10" s="56">
        <v>183</v>
      </c>
      <c r="F10" s="52">
        <v>35</v>
      </c>
      <c r="H10" s="52" t="s">
        <v>81</v>
      </c>
      <c r="I10" s="56">
        <v>154.81818181818181</v>
      </c>
      <c r="J10" s="56">
        <v>4.9156521809050284</v>
      </c>
      <c r="K10" s="56">
        <v>148</v>
      </c>
      <c r="L10" s="56">
        <v>165</v>
      </c>
      <c r="M10" s="52">
        <v>11</v>
      </c>
      <c r="O10" s="52" t="s">
        <v>81</v>
      </c>
      <c r="P10" s="56">
        <v>167.65</v>
      </c>
      <c r="Q10" s="56">
        <v>7.8508376733895764</v>
      </c>
      <c r="R10" s="56">
        <v>153</v>
      </c>
      <c r="S10" s="56">
        <v>183</v>
      </c>
      <c r="T10" s="52">
        <v>24</v>
      </c>
    </row>
    <row r="11" spans="1:20">
      <c r="A11" s="52" t="s">
        <v>82</v>
      </c>
      <c r="B11" s="56">
        <v>63.828571428571429</v>
      </c>
      <c r="C11" s="56">
        <v>13.115966278874424</v>
      </c>
      <c r="D11" s="56">
        <v>40</v>
      </c>
      <c r="E11" s="56">
        <v>112</v>
      </c>
      <c r="F11" s="52">
        <v>35</v>
      </c>
      <c r="H11" s="52" t="s">
        <v>82</v>
      </c>
      <c r="I11" s="56">
        <v>58.727272727272727</v>
      </c>
      <c r="J11" s="56">
        <v>10.1596349254381</v>
      </c>
      <c r="K11" s="56">
        <v>40</v>
      </c>
      <c r="L11" s="56">
        <v>73</v>
      </c>
      <c r="M11" s="52">
        <v>11</v>
      </c>
      <c r="O11" s="52" t="s">
        <v>82</v>
      </c>
      <c r="P11" s="56">
        <v>66.166666666666671</v>
      </c>
      <c r="Q11" s="56">
        <v>13.830233632113391</v>
      </c>
      <c r="R11" s="56">
        <v>49</v>
      </c>
      <c r="S11" s="56">
        <v>112</v>
      </c>
      <c r="T11" s="52">
        <v>24</v>
      </c>
    </row>
    <row r="12" spans="1:20">
      <c r="A12" s="52" t="s">
        <v>212</v>
      </c>
      <c r="B12" s="56">
        <v>7.1142857142857139</v>
      </c>
      <c r="C12" s="56">
        <v>2.5755802152870628</v>
      </c>
      <c r="D12" s="56">
        <v>3</v>
      </c>
      <c r="E12" s="56">
        <v>12</v>
      </c>
      <c r="F12" s="52">
        <v>35</v>
      </c>
      <c r="H12" s="52" t="s">
        <v>212</v>
      </c>
      <c r="I12" s="56">
        <v>5.8181818181818183</v>
      </c>
      <c r="J12" s="56">
        <v>1.7786613965666322</v>
      </c>
      <c r="K12" s="56">
        <v>3</v>
      </c>
      <c r="L12" s="56">
        <v>8</v>
      </c>
      <c r="M12" s="52">
        <v>11</v>
      </c>
      <c r="O12" s="52" t="s">
        <v>212</v>
      </c>
      <c r="P12" s="56">
        <v>7.708333333333333</v>
      </c>
      <c r="Q12" s="56">
        <v>2.6942639015164214</v>
      </c>
      <c r="R12" s="56">
        <v>4</v>
      </c>
      <c r="S12" s="56">
        <v>12</v>
      </c>
      <c r="T12" s="52">
        <v>24</v>
      </c>
    </row>
    <row r="13" spans="1:20">
      <c r="A13" s="52" t="s">
        <v>213</v>
      </c>
      <c r="B13" s="56">
        <v>4.2</v>
      </c>
      <c r="C13" s="56">
        <v>1.9372509327577028</v>
      </c>
      <c r="D13" s="56">
        <v>0</v>
      </c>
      <c r="E13" s="56">
        <v>10</v>
      </c>
      <c r="F13" s="52">
        <v>35</v>
      </c>
      <c r="H13" s="52" t="s">
        <v>213</v>
      </c>
      <c r="I13" s="56">
        <v>3.1818181818181817</v>
      </c>
      <c r="J13" s="56">
        <v>1.6624188291872672</v>
      </c>
      <c r="K13" s="56">
        <v>0</v>
      </c>
      <c r="L13" s="56">
        <v>5</v>
      </c>
      <c r="M13" s="52">
        <v>11</v>
      </c>
      <c r="O13" s="52" t="s">
        <v>213</v>
      </c>
      <c r="P13" s="56">
        <v>4.666666666666667</v>
      </c>
      <c r="Q13" s="56">
        <v>1.9034674690672029</v>
      </c>
      <c r="R13" s="56">
        <v>2</v>
      </c>
      <c r="S13" s="56">
        <v>10</v>
      </c>
      <c r="T13" s="52">
        <v>24</v>
      </c>
    </row>
    <row r="14" spans="1:20">
      <c r="A14" s="52" t="s">
        <v>214</v>
      </c>
      <c r="B14" s="56">
        <v>2.9142857142857141</v>
      </c>
      <c r="C14" s="56">
        <v>1.4424535586657765</v>
      </c>
      <c r="D14" s="56">
        <v>1</v>
      </c>
      <c r="E14" s="56">
        <v>7</v>
      </c>
      <c r="F14" s="52">
        <v>35</v>
      </c>
      <c r="H14" s="52" t="s">
        <v>214</v>
      </c>
      <c r="I14" s="56">
        <v>2.6363636363636362</v>
      </c>
      <c r="J14" s="56">
        <v>0.67419986246324215</v>
      </c>
      <c r="K14" s="56">
        <v>2</v>
      </c>
      <c r="L14" s="56">
        <v>4</v>
      </c>
      <c r="M14" s="52">
        <v>11</v>
      </c>
      <c r="O14" s="52" t="s">
        <v>214</v>
      </c>
      <c r="P14" s="56">
        <v>3.0416666666666665</v>
      </c>
      <c r="Q14" s="56">
        <v>1.6805580508625224</v>
      </c>
      <c r="R14" s="56">
        <v>1</v>
      </c>
      <c r="S14" s="56">
        <v>7</v>
      </c>
      <c r="T14" s="52">
        <v>24</v>
      </c>
    </row>
    <row r="15" spans="1:20">
      <c r="A15" s="52" t="s">
        <v>215</v>
      </c>
      <c r="B15" s="56">
        <v>47.882857142857148</v>
      </c>
      <c r="C15" s="56">
        <v>41.56497030315937</v>
      </c>
      <c r="D15" s="56">
        <v>12.5</v>
      </c>
      <c r="E15" s="56">
        <v>170.5</v>
      </c>
      <c r="F15" s="52">
        <v>35</v>
      </c>
      <c r="H15" s="52" t="s">
        <v>215</v>
      </c>
      <c r="I15" s="56">
        <v>20.772727272727273</v>
      </c>
      <c r="J15" s="56">
        <v>9.2611112625959642</v>
      </c>
      <c r="K15" s="56">
        <v>12.5</v>
      </c>
      <c r="L15" s="56">
        <v>45</v>
      </c>
      <c r="M15" s="52">
        <v>11</v>
      </c>
      <c r="O15" s="52" t="s">
        <v>215</v>
      </c>
      <c r="P15" s="56">
        <v>60.308333333333337</v>
      </c>
      <c r="Q15" s="56">
        <v>44.766222871099224</v>
      </c>
      <c r="R15" s="56">
        <v>20</v>
      </c>
      <c r="S15" s="56">
        <v>170.5</v>
      </c>
      <c r="T15" s="52">
        <v>24</v>
      </c>
    </row>
    <row r="16" spans="1:20">
      <c r="A16" s="52" t="s">
        <v>138</v>
      </c>
      <c r="B16" s="56">
        <v>20.228571428571428</v>
      </c>
      <c r="C16" s="56">
        <v>7.1992063054597493</v>
      </c>
      <c r="D16" s="56">
        <v>6</v>
      </c>
      <c r="E16" s="56">
        <v>48</v>
      </c>
      <c r="F16" s="52">
        <v>35</v>
      </c>
      <c r="H16" s="52" t="s">
        <v>138</v>
      </c>
      <c r="I16" s="56">
        <v>19.181818181818183</v>
      </c>
      <c r="J16" s="56">
        <v>4.5347145845837256</v>
      </c>
      <c r="K16" s="56">
        <v>13</v>
      </c>
      <c r="L16" s="56">
        <v>25</v>
      </c>
      <c r="M16" s="52">
        <v>11</v>
      </c>
      <c r="O16" s="52" t="s">
        <v>138</v>
      </c>
      <c r="P16" s="56">
        <v>20.708333333333332</v>
      </c>
      <c r="Q16" s="56">
        <v>8.1799285989584281</v>
      </c>
      <c r="R16" s="56">
        <v>6</v>
      </c>
      <c r="S16" s="56">
        <v>48</v>
      </c>
      <c r="T16" s="52">
        <v>24</v>
      </c>
    </row>
    <row r="17" spans="1:20">
      <c r="A17" s="52" t="s">
        <v>139</v>
      </c>
      <c r="B17" s="56">
        <v>34.085714285714289</v>
      </c>
      <c r="C17" s="56">
        <v>6.8012603873945858</v>
      </c>
      <c r="D17" s="56">
        <v>23</v>
      </c>
      <c r="E17" s="56">
        <v>51</v>
      </c>
      <c r="F17" s="52">
        <v>35</v>
      </c>
      <c r="H17" s="52" t="s">
        <v>139</v>
      </c>
      <c r="I17" s="56">
        <v>30.09090909090909</v>
      </c>
      <c r="J17" s="56">
        <v>3.8588740703615878</v>
      </c>
      <c r="K17" s="56">
        <v>24</v>
      </c>
      <c r="L17" s="56">
        <v>35</v>
      </c>
      <c r="M17" s="52">
        <v>11</v>
      </c>
      <c r="O17" s="52" t="s">
        <v>139</v>
      </c>
      <c r="P17" s="56">
        <v>35.916666666666664</v>
      </c>
      <c r="Q17" s="56">
        <v>7.1256832878567185</v>
      </c>
      <c r="R17" s="56">
        <v>23</v>
      </c>
      <c r="S17" s="56">
        <v>51</v>
      </c>
      <c r="T17" s="52">
        <v>24</v>
      </c>
    </row>
    <row r="18" spans="1:20">
      <c r="A18" s="52" t="s">
        <v>140</v>
      </c>
      <c r="B18" s="56">
        <v>8.6877142857142857</v>
      </c>
      <c r="C18" s="56">
        <v>1.0893389407026215</v>
      </c>
      <c r="D18" s="56">
        <v>7.02</v>
      </c>
      <c r="E18" s="56">
        <v>11.21</v>
      </c>
      <c r="F18" s="52">
        <v>35</v>
      </c>
      <c r="H18" s="52" t="s">
        <v>140</v>
      </c>
      <c r="I18" s="56">
        <v>9.6599999999999984</v>
      </c>
      <c r="J18" s="56">
        <v>0.88271173097450106</v>
      </c>
      <c r="K18" s="56">
        <v>8.5500000000000007</v>
      </c>
      <c r="L18" s="56">
        <v>10.9</v>
      </c>
      <c r="M18" s="52">
        <v>11</v>
      </c>
      <c r="O18" s="52" t="s">
        <v>140</v>
      </c>
      <c r="P18" s="56">
        <v>8.2420833333333334</v>
      </c>
      <c r="Q18" s="56">
        <v>0.8695275037111474</v>
      </c>
      <c r="R18" s="56">
        <v>7.02</v>
      </c>
      <c r="S18" s="56">
        <v>11.21</v>
      </c>
      <c r="T18" s="52">
        <v>24</v>
      </c>
    </row>
    <row r="19" spans="1:20">
      <c r="A19" s="52" t="s">
        <v>141</v>
      </c>
      <c r="B19" s="56">
        <v>6.120000000000001</v>
      </c>
      <c r="C19" s="56">
        <v>1.1425178593017729</v>
      </c>
      <c r="D19" s="56">
        <v>4.05</v>
      </c>
      <c r="E19" s="56">
        <v>9.01</v>
      </c>
      <c r="F19" s="52">
        <v>35</v>
      </c>
      <c r="H19" s="52" t="s">
        <v>141</v>
      </c>
      <c r="I19" s="56">
        <v>7.3645454545454534</v>
      </c>
      <c r="J19" s="56">
        <v>0.92534710932022823</v>
      </c>
      <c r="K19" s="56">
        <v>6.27</v>
      </c>
      <c r="L19" s="56">
        <v>9.01</v>
      </c>
      <c r="M19" s="52">
        <v>11</v>
      </c>
      <c r="O19" s="52" t="s">
        <v>141</v>
      </c>
      <c r="P19" s="56">
        <v>5.5495833333333335</v>
      </c>
      <c r="Q19" s="56">
        <v>0.6906926527622137</v>
      </c>
      <c r="R19" s="56">
        <v>4.05</v>
      </c>
      <c r="S19" s="56">
        <v>6.9</v>
      </c>
      <c r="T19" s="52">
        <v>24</v>
      </c>
    </row>
    <row r="20" spans="1:20">
      <c r="A20" s="52" t="s">
        <v>216</v>
      </c>
      <c r="B20" s="56">
        <v>49.371428571428574</v>
      </c>
      <c r="C20" s="56">
        <v>20.766326977452071</v>
      </c>
      <c r="D20" s="56">
        <v>2</v>
      </c>
      <c r="E20" s="56">
        <v>60</v>
      </c>
      <c r="F20" s="52">
        <v>35</v>
      </c>
      <c r="H20" s="52" t="s">
        <v>216</v>
      </c>
      <c r="I20" s="56">
        <v>27.545454545454547</v>
      </c>
      <c r="J20" s="56">
        <v>26.0858721777273</v>
      </c>
      <c r="K20" s="56">
        <v>2</v>
      </c>
      <c r="L20" s="56">
        <v>60</v>
      </c>
      <c r="M20" s="52">
        <v>11</v>
      </c>
      <c r="O20" s="52" t="s">
        <v>216</v>
      </c>
      <c r="P20" s="56">
        <v>59.375</v>
      </c>
      <c r="Q20" s="56">
        <v>3.0618621784789726</v>
      </c>
      <c r="R20" s="56">
        <v>45</v>
      </c>
      <c r="S20" s="56">
        <v>60</v>
      </c>
      <c r="T20" s="52">
        <v>24</v>
      </c>
    </row>
    <row r="21" spans="1:20">
      <c r="A21" s="52" t="s">
        <v>217</v>
      </c>
      <c r="B21" s="56">
        <v>36</v>
      </c>
      <c r="C21" s="56">
        <v>12.639842760097928</v>
      </c>
      <c r="D21" s="56">
        <v>20</v>
      </c>
      <c r="E21" s="56">
        <v>68</v>
      </c>
      <c r="F21" s="52">
        <v>33</v>
      </c>
      <c r="H21" s="52" t="s">
        <v>217</v>
      </c>
      <c r="I21" s="56">
        <v>23.444444444444443</v>
      </c>
      <c r="J21" s="56">
        <v>3.686499393432451</v>
      </c>
      <c r="K21" s="56">
        <v>20</v>
      </c>
      <c r="L21" s="56">
        <v>30.5</v>
      </c>
      <c r="M21" s="52">
        <v>9</v>
      </c>
      <c r="O21" s="52" t="s">
        <v>217</v>
      </c>
      <c r="P21" s="56">
        <v>40.708333333333336</v>
      </c>
      <c r="Q21" s="56">
        <v>11.521168293214878</v>
      </c>
      <c r="R21" s="56">
        <v>29</v>
      </c>
      <c r="S21" s="56">
        <v>68</v>
      </c>
      <c r="T21" s="52">
        <v>24</v>
      </c>
    </row>
    <row r="22" spans="1:20">
      <c r="A22" s="52" t="s">
        <v>150</v>
      </c>
      <c r="B22" s="56">
        <v>14.266666666666667</v>
      </c>
      <c r="C22" s="56">
        <v>3.600127711655503</v>
      </c>
      <c r="D22" s="56">
        <v>8</v>
      </c>
      <c r="E22" s="56">
        <v>21</v>
      </c>
      <c r="F22" s="52">
        <v>30</v>
      </c>
      <c r="H22" s="52" t="s">
        <v>150</v>
      </c>
      <c r="I22" s="56">
        <v>14.111111111111111</v>
      </c>
      <c r="J22" s="56">
        <v>2.8915585954829126</v>
      </c>
      <c r="K22" s="56">
        <v>10</v>
      </c>
      <c r="L22" s="56">
        <v>20</v>
      </c>
      <c r="M22" s="52">
        <v>9</v>
      </c>
      <c r="O22" s="52" t="s">
        <v>150</v>
      </c>
      <c r="P22" s="56">
        <v>14.333333333333334</v>
      </c>
      <c r="Q22" s="56">
        <v>3.9285281382896251</v>
      </c>
      <c r="R22" s="56">
        <v>8</v>
      </c>
      <c r="S22" s="56">
        <v>21</v>
      </c>
      <c r="T22" s="52">
        <v>21</v>
      </c>
    </row>
    <row r="23" spans="1:20">
      <c r="A23" s="52" t="s">
        <v>151</v>
      </c>
      <c r="B23" s="56">
        <v>11.017241379310345</v>
      </c>
      <c r="C23" s="56">
        <v>9.6829035257847718</v>
      </c>
      <c r="D23" s="56">
        <v>-18</v>
      </c>
      <c r="E23" s="56">
        <v>30</v>
      </c>
      <c r="F23" s="52">
        <v>29</v>
      </c>
      <c r="H23" s="52" t="s">
        <v>151</v>
      </c>
      <c r="I23" s="56">
        <v>7.1</v>
      </c>
      <c r="J23" s="56">
        <v>3.3615472627943217</v>
      </c>
      <c r="K23" s="56">
        <v>4</v>
      </c>
      <c r="L23" s="56">
        <v>12.5</v>
      </c>
      <c r="M23" s="52">
        <v>5</v>
      </c>
      <c r="O23" s="52" t="s">
        <v>151</v>
      </c>
      <c r="P23" s="56">
        <v>11.833333333333334</v>
      </c>
      <c r="Q23" s="56">
        <v>10.3992753370719</v>
      </c>
      <c r="R23" s="56">
        <v>-18</v>
      </c>
      <c r="S23" s="56">
        <v>30</v>
      </c>
      <c r="T23" s="52">
        <v>24</v>
      </c>
    </row>
  </sheetData>
  <mergeCells count="3">
    <mergeCell ref="A7:F7"/>
    <mergeCell ref="H7:M7"/>
    <mergeCell ref="O7:T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CB0F-4E7F-4D0A-8DEA-708D138270EC}">
  <sheetPr codeName="Sheet9"/>
  <dimension ref="A1:B19"/>
  <sheetViews>
    <sheetView workbookViewId="0">
      <selection activeCell="B19" sqref="B19"/>
    </sheetView>
  </sheetViews>
  <sheetFormatPr defaultRowHeight="17.399999999999999"/>
  <sheetData>
    <row r="1" spans="1:2">
      <c r="A1" s="68" t="s">
        <v>218</v>
      </c>
      <c r="B1" s="68" t="s">
        <v>219</v>
      </c>
    </row>
    <row r="2" spans="1:2">
      <c r="A2" s="68">
        <v>100</v>
      </c>
      <c r="B2" s="68">
        <v>98</v>
      </c>
    </row>
    <row r="3" spans="1:2">
      <c r="A3" s="68">
        <v>110</v>
      </c>
      <c r="B3" s="68">
        <v>107</v>
      </c>
    </row>
    <row r="4" spans="1:2">
      <c r="A4" s="68">
        <v>120</v>
      </c>
      <c r="B4" s="68">
        <v>117.2</v>
      </c>
    </row>
    <row r="5" spans="1:2">
      <c r="A5" s="68">
        <v>130</v>
      </c>
      <c r="B5" s="68">
        <v>126.4</v>
      </c>
    </row>
    <row r="6" spans="1:2">
      <c r="A6" s="68">
        <v>140</v>
      </c>
      <c r="B6" s="68">
        <v>134</v>
      </c>
    </row>
    <row r="7" spans="1:2">
      <c r="A7" s="68">
        <v>150</v>
      </c>
      <c r="B7" s="68">
        <v>141.4</v>
      </c>
    </row>
    <row r="8" spans="1:2">
      <c r="A8" s="68">
        <v>160</v>
      </c>
      <c r="B8" s="68">
        <v>155</v>
      </c>
    </row>
    <row r="9" spans="1:2">
      <c r="A9" s="68">
        <v>170</v>
      </c>
      <c r="B9" s="68">
        <v>161.5</v>
      </c>
    </row>
    <row r="10" spans="1:2">
      <c r="A10" s="68">
        <v>180</v>
      </c>
      <c r="B10" s="68">
        <v>165</v>
      </c>
    </row>
    <row r="11" spans="1:2">
      <c r="A11" s="68">
        <v>190</v>
      </c>
      <c r="B11" s="68">
        <v>167.6</v>
      </c>
    </row>
    <row r="12" spans="1:2">
      <c r="A12" s="68">
        <v>200</v>
      </c>
      <c r="B12" s="68">
        <v>170.5</v>
      </c>
    </row>
    <row r="13" spans="1:2">
      <c r="A13" s="68">
        <v>115</v>
      </c>
      <c r="B13" s="68">
        <v>112.4</v>
      </c>
    </row>
    <row r="14" spans="1:2">
      <c r="A14" s="68">
        <v>125</v>
      </c>
      <c r="B14" s="68">
        <v>121.9</v>
      </c>
    </row>
    <row r="15" spans="1:2">
      <c r="A15" s="68">
        <v>135</v>
      </c>
      <c r="B15" s="68">
        <v>130.69999999999999</v>
      </c>
    </row>
    <row r="16" spans="1:2">
      <c r="A16" s="68">
        <v>137</v>
      </c>
      <c r="B16" s="68">
        <v>132.19999999999999</v>
      </c>
    </row>
    <row r="17" spans="1:2">
      <c r="A17" s="68">
        <v>145</v>
      </c>
      <c r="B17" s="68">
        <v>137.5</v>
      </c>
    </row>
    <row r="18" spans="1:2">
      <c r="A18" s="68">
        <v>155</v>
      </c>
      <c r="B18" s="68">
        <v>151.1</v>
      </c>
    </row>
    <row r="19" spans="1:2">
      <c r="A19" s="68">
        <v>165</v>
      </c>
      <c r="B19" s="68">
        <v>158.80000000000001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34B5-E74A-4664-86FD-562B7F0A88E6}">
  <sheetPr codeName="Sheet14"/>
  <dimension ref="A1:T23"/>
  <sheetViews>
    <sheetView zoomScale="160" zoomScaleNormal="160" workbookViewId="0">
      <selection activeCell="O15" sqref="O15"/>
    </sheetView>
  </sheetViews>
  <sheetFormatPr defaultColWidth="8.59765625" defaultRowHeight="15.6"/>
  <cols>
    <col min="1" max="1" width="15" style="52" bestFit="1" customWidth="1"/>
    <col min="2" max="2" width="6.09765625" style="52" bestFit="1" customWidth="1"/>
    <col min="3" max="4" width="7.69921875" style="52" bestFit="1" customWidth="1"/>
    <col min="5" max="5" width="6.09765625" style="52" bestFit="1" customWidth="1"/>
    <col min="6" max="6" width="3" style="52" bestFit="1" customWidth="1"/>
    <col min="7" max="7" width="8.59765625" style="52"/>
    <col min="8" max="8" width="15" style="52" bestFit="1" customWidth="1"/>
    <col min="9" max="9" width="6.09765625" style="52" bestFit="1" customWidth="1"/>
    <col min="10" max="10" width="7.69921875" style="52" bestFit="1" customWidth="1"/>
    <col min="11" max="12" width="6.09765625" style="52" bestFit="1" customWidth="1"/>
    <col min="13" max="13" width="3" style="52" bestFit="1" customWidth="1"/>
    <col min="14" max="14" width="8.59765625" style="52"/>
    <col min="15" max="15" width="15" style="52" bestFit="1" customWidth="1"/>
    <col min="16" max="16" width="6.09765625" style="52" bestFit="1" customWidth="1"/>
    <col min="17" max="17" width="7.69921875" style="52" bestFit="1" customWidth="1"/>
    <col min="18" max="19" width="6.09765625" style="52" bestFit="1" customWidth="1"/>
    <col min="20" max="20" width="3" style="52" bestFit="1" customWidth="1"/>
    <col min="21" max="16384" width="8.59765625" style="52"/>
  </cols>
  <sheetData>
    <row r="1" spans="1:20">
      <c r="A1" s="53" t="s">
        <v>194</v>
      </c>
      <c r="B1" s="53" t="s">
        <v>195</v>
      </c>
      <c r="C1" s="53" t="s">
        <v>196</v>
      </c>
      <c r="D1" s="53" t="s">
        <v>197</v>
      </c>
    </row>
    <row r="2" spans="1:20">
      <c r="A2" s="54" t="s">
        <v>198</v>
      </c>
      <c r="B2" s="54">
        <v>61</v>
      </c>
      <c r="C2" s="52" t="s">
        <v>220</v>
      </c>
      <c r="D2" s="52" t="s">
        <v>221</v>
      </c>
    </row>
    <row r="3" spans="1:20">
      <c r="A3" s="54" t="s">
        <v>201</v>
      </c>
      <c r="B3" s="54">
        <v>34</v>
      </c>
      <c r="C3" s="52" t="s">
        <v>222</v>
      </c>
      <c r="D3" s="52" t="s">
        <v>223</v>
      </c>
    </row>
    <row r="4" spans="1:20">
      <c r="A4" s="54" t="s">
        <v>204</v>
      </c>
      <c r="B4" s="54">
        <v>27</v>
      </c>
      <c r="C4" s="52" t="s">
        <v>224</v>
      </c>
      <c r="D4" s="52" t="s">
        <v>225</v>
      </c>
    </row>
    <row r="7" spans="1:20" s="55" customFormat="1">
      <c r="A7" s="85" t="s">
        <v>198</v>
      </c>
      <c r="B7" s="85"/>
      <c r="C7" s="85"/>
      <c r="D7" s="85"/>
      <c r="E7" s="85"/>
      <c r="F7" s="85"/>
      <c r="H7" s="85" t="s">
        <v>204</v>
      </c>
      <c r="I7" s="85"/>
      <c r="J7" s="85"/>
      <c r="K7" s="85"/>
      <c r="L7" s="85"/>
      <c r="M7" s="85"/>
      <c r="O7" s="85" t="s">
        <v>201</v>
      </c>
      <c r="P7" s="85"/>
      <c r="Q7" s="85"/>
      <c r="R7" s="85"/>
      <c r="S7" s="85"/>
      <c r="T7" s="85"/>
    </row>
    <row r="8" spans="1:20">
      <c r="A8" s="53" t="s">
        <v>207</v>
      </c>
      <c r="B8" s="53" t="s">
        <v>208</v>
      </c>
      <c r="C8" s="53" t="s">
        <v>209</v>
      </c>
      <c r="D8" s="53" t="s">
        <v>210</v>
      </c>
      <c r="E8" s="53" t="s">
        <v>211</v>
      </c>
      <c r="F8" s="53" t="s">
        <v>195</v>
      </c>
      <c r="H8" s="53" t="s">
        <v>207</v>
      </c>
      <c r="I8" s="53" t="s">
        <v>208</v>
      </c>
      <c r="J8" s="53" t="s">
        <v>209</v>
      </c>
      <c r="K8" s="53" t="s">
        <v>210</v>
      </c>
      <c r="L8" s="53" t="s">
        <v>211</v>
      </c>
      <c r="M8" s="53" t="s">
        <v>195</v>
      </c>
      <c r="O8" s="53" t="s">
        <v>207</v>
      </c>
      <c r="P8" s="53" t="s">
        <v>208</v>
      </c>
      <c r="Q8" s="53" t="s">
        <v>209</v>
      </c>
      <c r="R8" s="53" t="s">
        <v>210</v>
      </c>
      <c r="S8" s="53" t="s">
        <v>211</v>
      </c>
      <c r="T8" s="53" t="s">
        <v>195</v>
      </c>
    </row>
    <row r="9" spans="1:20">
      <c r="A9" s="52" t="s">
        <v>80</v>
      </c>
      <c r="B9" s="56">
        <v>44.901639344262293</v>
      </c>
      <c r="C9" s="56">
        <v>26.759238229088155</v>
      </c>
      <c r="D9" s="56">
        <v>18</v>
      </c>
      <c r="E9" s="56">
        <v>83</v>
      </c>
      <c r="F9" s="52">
        <v>61</v>
      </c>
      <c r="H9" s="52" t="s">
        <v>80</v>
      </c>
      <c r="I9" s="56">
        <v>74.296296296296291</v>
      </c>
      <c r="J9" s="56">
        <v>5.829730266981052</v>
      </c>
      <c r="K9" s="56">
        <v>60</v>
      </c>
      <c r="L9" s="56">
        <v>83</v>
      </c>
      <c r="M9" s="52">
        <v>27</v>
      </c>
      <c r="O9" s="52" t="s">
        <v>80</v>
      </c>
      <c r="P9" s="56">
        <v>21.558823529411764</v>
      </c>
      <c r="Q9" s="56">
        <v>2.6075784246387901</v>
      </c>
      <c r="R9" s="56">
        <v>18</v>
      </c>
      <c r="S9" s="56">
        <v>27</v>
      </c>
      <c r="T9" s="52">
        <v>34</v>
      </c>
    </row>
    <row r="10" spans="1:20">
      <c r="A10" s="52" t="s">
        <v>81</v>
      </c>
      <c r="B10" s="56">
        <v>163.1754098360656</v>
      </c>
      <c r="C10" s="56">
        <v>9.4104667921363827</v>
      </c>
      <c r="D10" s="56">
        <v>148</v>
      </c>
      <c r="E10" s="56">
        <v>183</v>
      </c>
      <c r="F10" s="52">
        <v>61</v>
      </c>
      <c r="H10" s="52" t="s">
        <v>81</v>
      </c>
      <c r="I10" s="56">
        <v>156.67777777777778</v>
      </c>
      <c r="J10" s="56">
        <v>6.8125638082168187</v>
      </c>
      <c r="K10" s="56">
        <v>148</v>
      </c>
      <c r="L10" s="56">
        <v>174</v>
      </c>
      <c r="M10" s="52">
        <v>27</v>
      </c>
      <c r="O10" s="52" t="s">
        <v>81</v>
      </c>
      <c r="P10" s="56">
        <v>168.33529411764707</v>
      </c>
      <c r="Q10" s="56">
        <v>7.9039262338962555</v>
      </c>
      <c r="R10" s="56">
        <v>153</v>
      </c>
      <c r="S10" s="56">
        <v>183</v>
      </c>
      <c r="T10" s="52">
        <v>34</v>
      </c>
    </row>
    <row r="11" spans="1:20">
      <c r="A11" s="52" t="s">
        <v>82</v>
      </c>
      <c r="B11" s="56">
        <v>62.759016393442622</v>
      </c>
      <c r="C11" s="56">
        <v>12.997273778876114</v>
      </c>
      <c r="D11" s="56">
        <v>40</v>
      </c>
      <c r="E11" s="56">
        <v>112</v>
      </c>
      <c r="F11" s="52">
        <v>61</v>
      </c>
      <c r="H11" s="52" t="s">
        <v>82</v>
      </c>
      <c r="I11" s="56">
        <v>57.418518518518525</v>
      </c>
      <c r="J11" s="56">
        <v>9.5154949358739529</v>
      </c>
      <c r="K11" s="56">
        <v>40</v>
      </c>
      <c r="L11" s="56">
        <v>76</v>
      </c>
      <c r="M11" s="52">
        <v>27</v>
      </c>
      <c r="O11" s="52" t="s">
        <v>82</v>
      </c>
      <c r="P11" s="56">
        <v>67</v>
      </c>
      <c r="Q11" s="56">
        <v>13.926212476455827</v>
      </c>
      <c r="R11" s="56">
        <v>49</v>
      </c>
      <c r="S11" s="56">
        <v>112</v>
      </c>
      <c r="T11" s="52">
        <v>34</v>
      </c>
    </row>
    <row r="12" spans="1:20">
      <c r="A12" s="52" t="s">
        <v>212</v>
      </c>
      <c r="B12" s="56">
        <v>4.7735849056603774</v>
      </c>
      <c r="C12" s="56">
        <v>3.935252457124732</v>
      </c>
      <c r="D12" s="56">
        <v>0</v>
      </c>
      <c r="E12" s="56">
        <v>12</v>
      </c>
      <c r="F12" s="52">
        <v>53</v>
      </c>
      <c r="H12" s="52" t="s">
        <v>212</v>
      </c>
      <c r="I12" s="56">
        <v>3.3684210526315788</v>
      </c>
      <c r="J12" s="56">
        <v>3.2354035694654759</v>
      </c>
      <c r="K12" s="56">
        <v>0</v>
      </c>
      <c r="L12" s="56">
        <v>8</v>
      </c>
      <c r="M12" s="52">
        <v>19</v>
      </c>
      <c r="O12" s="52" t="s">
        <v>212</v>
      </c>
      <c r="P12" s="56">
        <v>5.5588235294117645</v>
      </c>
      <c r="Q12" s="56">
        <v>4.1134750955674741</v>
      </c>
      <c r="R12" s="56">
        <v>0</v>
      </c>
      <c r="S12" s="56">
        <v>12</v>
      </c>
      <c r="T12" s="52">
        <v>34</v>
      </c>
    </row>
    <row r="13" spans="1:20">
      <c r="A13" s="52" t="s">
        <v>213</v>
      </c>
      <c r="B13" s="56">
        <v>2.8301886792452828</v>
      </c>
      <c r="C13" s="56">
        <v>2.5171400824119345</v>
      </c>
      <c r="D13" s="56">
        <v>0</v>
      </c>
      <c r="E13" s="56">
        <v>10</v>
      </c>
      <c r="F13" s="52">
        <v>53</v>
      </c>
      <c r="H13" s="52" t="s">
        <v>213</v>
      </c>
      <c r="I13" s="56">
        <v>1.8421052631578947</v>
      </c>
      <c r="J13" s="56">
        <v>2.0347852164769096</v>
      </c>
      <c r="K13" s="56">
        <v>0</v>
      </c>
      <c r="L13" s="56">
        <v>5</v>
      </c>
      <c r="M13" s="52">
        <v>19</v>
      </c>
      <c r="O13" s="52" t="s">
        <v>213</v>
      </c>
      <c r="P13" s="56">
        <v>3.3823529411764706</v>
      </c>
      <c r="Q13" s="56">
        <v>2.6171312756684553</v>
      </c>
      <c r="R13" s="56">
        <v>0</v>
      </c>
      <c r="S13" s="56">
        <v>10</v>
      </c>
      <c r="T13" s="52">
        <v>34</v>
      </c>
    </row>
    <row r="14" spans="1:20">
      <c r="A14" s="52" t="s">
        <v>214</v>
      </c>
      <c r="B14" s="56">
        <v>1.9433962264150944</v>
      </c>
      <c r="C14" s="56">
        <v>1.8018696949773572</v>
      </c>
      <c r="D14" s="56">
        <v>0</v>
      </c>
      <c r="E14" s="56">
        <v>7</v>
      </c>
      <c r="F14" s="52">
        <v>53</v>
      </c>
      <c r="H14" s="52" t="s">
        <v>214</v>
      </c>
      <c r="I14" s="56">
        <v>1.5263157894736843</v>
      </c>
      <c r="J14" s="56">
        <v>1.4286131990551605</v>
      </c>
      <c r="K14" s="56">
        <v>0</v>
      </c>
      <c r="L14" s="56">
        <v>4</v>
      </c>
      <c r="M14" s="52">
        <v>19</v>
      </c>
      <c r="O14" s="52" t="s">
        <v>214</v>
      </c>
      <c r="P14" s="56">
        <v>2.1764705882352939</v>
      </c>
      <c r="Q14" s="56">
        <v>1.9613011796484885</v>
      </c>
      <c r="R14" s="56">
        <v>0</v>
      </c>
      <c r="S14" s="56">
        <v>7</v>
      </c>
      <c r="T14" s="52">
        <v>34</v>
      </c>
    </row>
    <row r="15" spans="1:20">
      <c r="A15" s="52" t="s">
        <v>215</v>
      </c>
      <c r="B15" s="56">
        <v>48.219444444444449</v>
      </c>
      <c r="C15" s="56">
        <v>41.016629515665912</v>
      </c>
      <c r="D15" s="56">
        <v>12.5</v>
      </c>
      <c r="E15" s="56">
        <v>170.5</v>
      </c>
      <c r="F15" s="52">
        <v>36</v>
      </c>
      <c r="H15" s="52" t="s">
        <v>215</v>
      </c>
      <c r="I15" s="56">
        <v>20.772727272727273</v>
      </c>
      <c r="J15" s="56">
        <v>9.2611112625959642</v>
      </c>
      <c r="K15" s="56">
        <v>12.5</v>
      </c>
      <c r="L15" s="56">
        <v>45</v>
      </c>
      <c r="M15" s="52">
        <v>11</v>
      </c>
      <c r="O15" s="52" t="s">
        <v>215</v>
      </c>
      <c r="P15" s="56">
        <v>60.296000000000006</v>
      </c>
      <c r="Q15" s="56">
        <v>43.823713900124893</v>
      </c>
      <c r="R15" s="56">
        <v>20</v>
      </c>
      <c r="S15" s="56">
        <v>170.5</v>
      </c>
      <c r="T15" s="52">
        <v>25</v>
      </c>
    </row>
    <row r="16" spans="1:20">
      <c r="A16" s="52" t="s">
        <v>138</v>
      </c>
      <c r="B16" s="56">
        <v>19.83606557377049</v>
      </c>
      <c r="C16" s="56">
        <v>7.4166037327716099</v>
      </c>
      <c r="D16" s="56">
        <v>4</v>
      </c>
      <c r="E16" s="56">
        <v>48</v>
      </c>
      <c r="F16" s="52">
        <v>61</v>
      </c>
      <c r="H16" s="52" t="s">
        <v>138</v>
      </c>
      <c r="I16" s="56">
        <v>19.777777777777779</v>
      </c>
      <c r="J16" s="56">
        <v>7.3449790979088512</v>
      </c>
      <c r="K16" s="56">
        <v>4</v>
      </c>
      <c r="L16" s="56">
        <v>36</v>
      </c>
      <c r="M16" s="52">
        <v>27</v>
      </c>
      <c r="O16" s="52" t="s">
        <v>138</v>
      </c>
      <c r="P16" s="56">
        <v>19.882352941176471</v>
      </c>
      <c r="Q16" s="56">
        <v>7.5829342121369585</v>
      </c>
      <c r="R16" s="56">
        <v>6</v>
      </c>
      <c r="S16" s="56">
        <v>48</v>
      </c>
      <c r="T16" s="52">
        <v>34</v>
      </c>
    </row>
    <row r="17" spans="1:20">
      <c r="A17" s="52" t="s">
        <v>139</v>
      </c>
      <c r="B17" s="56">
        <v>31.754098360655739</v>
      </c>
      <c r="C17" s="56">
        <v>7.4691716133828336</v>
      </c>
      <c r="D17" s="56">
        <v>15</v>
      </c>
      <c r="E17" s="56">
        <v>51</v>
      </c>
      <c r="F17" s="52">
        <v>61</v>
      </c>
      <c r="H17" s="52" t="s">
        <v>139</v>
      </c>
      <c r="I17" s="56">
        <v>29.148148148148149</v>
      </c>
      <c r="J17" s="56">
        <v>5.3543921848810925</v>
      </c>
      <c r="K17" s="56">
        <v>15</v>
      </c>
      <c r="L17" s="56">
        <v>37</v>
      </c>
      <c r="M17" s="52">
        <v>27</v>
      </c>
      <c r="O17" s="52" t="s">
        <v>139</v>
      </c>
      <c r="P17" s="56">
        <v>33.823529411764703</v>
      </c>
      <c r="Q17" s="56">
        <v>8.2992171526953999</v>
      </c>
      <c r="R17" s="56">
        <v>19</v>
      </c>
      <c r="S17" s="56">
        <v>51</v>
      </c>
      <c r="T17" s="52">
        <v>34</v>
      </c>
    </row>
    <row r="18" spans="1:20">
      <c r="A18" s="52" t="s">
        <v>140</v>
      </c>
      <c r="B18" s="56">
        <v>8.9930000000000003</v>
      </c>
      <c r="C18" s="56">
        <v>1.344834814379112</v>
      </c>
      <c r="D18" s="56">
        <v>7.02</v>
      </c>
      <c r="E18" s="56">
        <v>12.82</v>
      </c>
      <c r="F18" s="52">
        <v>60</v>
      </c>
      <c r="H18" s="52" t="s">
        <v>140</v>
      </c>
      <c r="I18" s="56">
        <v>9.84</v>
      </c>
      <c r="J18" s="56">
        <v>1.3760897779298675</v>
      </c>
      <c r="K18" s="56">
        <v>7.1</v>
      </c>
      <c r="L18" s="56">
        <v>12.82</v>
      </c>
      <c r="M18" s="52">
        <v>27</v>
      </c>
      <c r="O18" s="52" t="s">
        <v>140</v>
      </c>
      <c r="P18" s="56">
        <v>8.3000000000000007</v>
      </c>
      <c r="Q18" s="56">
        <v>0.83392520647837509</v>
      </c>
      <c r="R18" s="56">
        <v>7.02</v>
      </c>
      <c r="S18" s="56">
        <v>11.21</v>
      </c>
      <c r="T18" s="52">
        <v>33</v>
      </c>
    </row>
    <row r="19" spans="1:20">
      <c r="A19" s="52" t="s">
        <v>141</v>
      </c>
      <c r="B19" s="56">
        <v>6.3954999999999975</v>
      </c>
      <c r="C19" s="56">
        <v>1.3614043409880201</v>
      </c>
      <c r="D19" s="56">
        <v>4.05</v>
      </c>
      <c r="E19" s="56">
        <v>9.84</v>
      </c>
      <c r="F19" s="52">
        <v>60</v>
      </c>
      <c r="H19" s="52" t="s">
        <v>141</v>
      </c>
      <c r="I19" s="56">
        <v>7.54</v>
      </c>
      <c r="J19" s="56">
        <v>1.0873397317801294</v>
      </c>
      <c r="K19" s="56">
        <v>6.2</v>
      </c>
      <c r="L19" s="56">
        <v>9.84</v>
      </c>
      <c r="M19" s="52">
        <v>27</v>
      </c>
      <c r="O19" s="52" t="s">
        <v>141</v>
      </c>
      <c r="P19" s="56">
        <v>5.4590909090909081</v>
      </c>
      <c r="Q19" s="56">
        <v>0.66868978063619144</v>
      </c>
      <c r="R19" s="56">
        <v>4.05</v>
      </c>
      <c r="S19" s="56">
        <v>6.9</v>
      </c>
      <c r="T19" s="52">
        <v>33</v>
      </c>
    </row>
    <row r="20" spans="1:20">
      <c r="A20" s="52" t="s">
        <v>216</v>
      </c>
      <c r="B20" s="56">
        <v>45.803278688524593</v>
      </c>
      <c r="C20" s="56">
        <v>22.341903583573735</v>
      </c>
      <c r="D20" s="56">
        <v>0</v>
      </c>
      <c r="E20" s="56">
        <v>60</v>
      </c>
      <c r="F20" s="52">
        <v>61</v>
      </c>
      <c r="H20" s="52" t="s">
        <v>216</v>
      </c>
      <c r="I20" s="56">
        <v>28.703703703703702</v>
      </c>
      <c r="J20" s="56">
        <v>24.445881853619838</v>
      </c>
      <c r="K20" s="56">
        <v>0</v>
      </c>
      <c r="L20" s="56">
        <v>60</v>
      </c>
      <c r="M20" s="52">
        <v>27</v>
      </c>
      <c r="O20" s="52" t="s">
        <v>216</v>
      </c>
      <c r="P20" s="56">
        <v>59.382352941176471</v>
      </c>
      <c r="Q20" s="56">
        <v>2.7415402205236137</v>
      </c>
      <c r="R20" s="56">
        <v>45</v>
      </c>
      <c r="S20" s="56">
        <v>60</v>
      </c>
      <c r="T20" s="52">
        <v>34</v>
      </c>
    </row>
    <row r="21" spans="1:20">
      <c r="A21" s="52" t="s">
        <v>217</v>
      </c>
      <c r="B21" s="56">
        <v>35.110169491525426</v>
      </c>
      <c r="C21" s="56">
        <v>12.622526318468605</v>
      </c>
      <c r="D21" s="56">
        <v>20</v>
      </c>
      <c r="E21" s="56">
        <v>68</v>
      </c>
      <c r="F21" s="52">
        <v>59</v>
      </c>
      <c r="H21" s="52" t="s">
        <v>217</v>
      </c>
      <c r="I21" s="56">
        <v>25.9</v>
      </c>
      <c r="J21" s="56">
        <v>5.145791160420977</v>
      </c>
      <c r="K21" s="56">
        <v>20</v>
      </c>
      <c r="L21" s="56">
        <v>39</v>
      </c>
      <c r="M21" s="52">
        <v>25</v>
      </c>
      <c r="O21" s="52" t="s">
        <v>217</v>
      </c>
      <c r="P21" s="56">
        <v>41.882352941176471</v>
      </c>
      <c r="Q21" s="56">
        <v>12.217138250145691</v>
      </c>
      <c r="R21" s="56">
        <v>24</v>
      </c>
      <c r="S21" s="56">
        <v>68</v>
      </c>
      <c r="T21" s="52">
        <v>34</v>
      </c>
    </row>
    <row r="22" spans="1:20">
      <c r="A22" s="52" t="s">
        <v>150</v>
      </c>
      <c r="B22" s="56">
        <v>14.08</v>
      </c>
      <c r="C22" s="56">
        <v>4.0042834208239704</v>
      </c>
      <c r="D22" s="56">
        <v>8</v>
      </c>
      <c r="E22" s="56">
        <v>25</v>
      </c>
      <c r="F22" s="52">
        <v>50</v>
      </c>
      <c r="H22" s="52" t="s">
        <v>150</v>
      </c>
      <c r="I22" s="56">
        <v>13.72</v>
      </c>
      <c r="J22" s="56">
        <v>4.0365001341921607</v>
      </c>
      <c r="K22" s="56">
        <v>8</v>
      </c>
      <c r="L22" s="56">
        <v>25</v>
      </c>
      <c r="M22" s="52">
        <v>25</v>
      </c>
      <c r="O22" s="52" t="s">
        <v>150</v>
      </c>
      <c r="P22" s="56">
        <v>14.44</v>
      </c>
      <c r="Q22" s="56">
        <v>4.021608301828179</v>
      </c>
      <c r="R22" s="56">
        <v>8</v>
      </c>
      <c r="S22" s="56">
        <v>22</v>
      </c>
      <c r="T22" s="52">
        <v>25</v>
      </c>
    </row>
    <row r="23" spans="1:20">
      <c r="A23" s="52" t="s">
        <v>151</v>
      </c>
      <c r="B23" s="56">
        <v>9.7799999999999994</v>
      </c>
      <c r="C23" s="56">
        <v>10.396310177467891</v>
      </c>
      <c r="D23" s="56">
        <v>-26</v>
      </c>
      <c r="E23" s="56">
        <v>30</v>
      </c>
      <c r="F23" s="52">
        <v>50</v>
      </c>
      <c r="H23" s="52" t="s">
        <v>151</v>
      </c>
      <c r="I23" s="56">
        <v>6.125</v>
      </c>
      <c r="J23" s="56">
        <v>11.573677030226824</v>
      </c>
      <c r="K23" s="56">
        <v>-26</v>
      </c>
      <c r="L23" s="56">
        <v>22</v>
      </c>
      <c r="M23" s="52">
        <v>16</v>
      </c>
      <c r="O23" s="52" t="s">
        <v>151</v>
      </c>
      <c r="P23" s="56">
        <v>11.5</v>
      </c>
      <c r="Q23" s="56">
        <v>9.490824915451638</v>
      </c>
      <c r="R23" s="56">
        <v>-18</v>
      </c>
      <c r="S23" s="56">
        <v>30</v>
      </c>
      <c r="T23" s="52">
        <v>34</v>
      </c>
    </row>
  </sheetData>
  <mergeCells count="3">
    <mergeCell ref="A7:F7"/>
    <mergeCell ref="H7:M7"/>
    <mergeCell ref="O7:T7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/>
  </sheetPr>
  <dimension ref="A1:CH55"/>
  <sheetViews>
    <sheetView workbookViewId="0">
      <selection activeCell="A29" sqref="A29"/>
    </sheetView>
  </sheetViews>
  <sheetFormatPr defaultColWidth="8.59765625" defaultRowHeight="17.399999999999999"/>
  <cols>
    <col min="1" max="2" width="13.59765625" style="2" bestFit="1" customWidth="1"/>
    <col min="3" max="6" width="13.59765625" style="8" bestFit="1" customWidth="1"/>
    <col min="7" max="7" width="13.59765625" style="2" bestFit="1" customWidth="1"/>
    <col min="8" max="12" width="13.59765625" style="8" bestFit="1" customWidth="1"/>
    <col min="13" max="16" width="13.59765625" style="7" bestFit="1" customWidth="1"/>
    <col min="17" max="18" width="13.59765625" style="8" bestFit="1" customWidth="1"/>
    <col min="19" max="20" width="13.59765625" style="7" bestFit="1" customWidth="1"/>
    <col min="21" max="58" width="13.59765625" style="8" bestFit="1" customWidth="1"/>
    <col min="59" max="60" width="13.59765625" style="7" bestFit="1" customWidth="1"/>
    <col min="61" max="86" width="13.59765625" style="8" bestFit="1" customWidth="1"/>
  </cols>
  <sheetData>
    <row r="1" spans="1:86" ht="18.75" customHeight="1">
      <c r="A1" s="1" t="str">
        <f>TRANSPOSE(meta!A1:BB86)</f>
        <v>subject</v>
      </c>
      <c r="B1" s="1" t="s">
        <v>77</v>
      </c>
      <c r="C1" s="4" t="s">
        <v>80</v>
      </c>
      <c r="D1" s="4" t="s">
        <v>81</v>
      </c>
      <c r="E1" s="4" t="s">
        <v>82</v>
      </c>
      <c r="F1" s="4" t="s">
        <v>83</v>
      </c>
      <c r="G1" s="1" t="s">
        <v>86</v>
      </c>
      <c r="H1" s="4" t="s">
        <v>89</v>
      </c>
      <c r="I1" s="4" t="s">
        <v>90</v>
      </c>
      <c r="J1" s="4" t="s">
        <v>91</v>
      </c>
      <c r="K1" s="4" t="s">
        <v>92</v>
      </c>
      <c r="L1" s="4" t="s">
        <v>93</v>
      </c>
      <c r="M1" s="3" t="s">
        <v>94</v>
      </c>
      <c r="N1" s="3" t="s">
        <v>95</v>
      </c>
      <c r="O1" s="3" t="s">
        <v>96</v>
      </c>
      <c r="P1" s="3" t="s">
        <v>97</v>
      </c>
      <c r="Q1" s="4" t="s">
        <v>98</v>
      </c>
      <c r="R1" s="4" t="s">
        <v>99</v>
      </c>
      <c r="S1" s="3" t="s">
        <v>100</v>
      </c>
      <c r="T1" s="3" t="s">
        <v>101</v>
      </c>
      <c r="U1" s="4" t="s">
        <v>102</v>
      </c>
      <c r="V1" s="4" t="s">
        <v>103</v>
      </c>
      <c r="W1" s="4" t="s">
        <v>104</v>
      </c>
      <c r="X1" s="4" t="s">
        <v>105</v>
      </c>
      <c r="Y1" s="4" t="s">
        <v>106</v>
      </c>
      <c r="Z1" s="4" t="s">
        <v>107</v>
      </c>
      <c r="AA1" s="4" t="s">
        <v>108</v>
      </c>
      <c r="AB1" s="4" t="s">
        <v>109</v>
      </c>
      <c r="AC1" s="4" t="s">
        <v>110</v>
      </c>
      <c r="AD1" s="4" t="s">
        <v>111</v>
      </c>
      <c r="AE1" s="4" t="s">
        <v>112</v>
      </c>
      <c r="AF1" s="4" t="s">
        <v>113</v>
      </c>
      <c r="AG1" s="4" t="s">
        <v>114</v>
      </c>
      <c r="AH1" s="4" t="s">
        <v>115</v>
      </c>
      <c r="AI1" s="4" t="s">
        <v>116</v>
      </c>
      <c r="AJ1" s="4" t="s">
        <v>117</v>
      </c>
      <c r="AK1" s="4" t="s">
        <v>118</v>
      </c>
      <c r="AL1" s="4" t="s">
        <v>119</v>
      </c>
      <c r="AM1" s="4" t="s">
        <v>226</v>
      </c>
      <c r="AN1" s="4" t="s">
        <v>121</v>
      </c>
      <c r="AO1" s="4" t="s">
        <v>122</v>
      </c>
      <c r="AP1" s="4" t="s">
        <v>123</v>
      </c>
      <c r="AQ1" s="4" t="s">
        <v>124</v>
      </c>
      <c r="AR1" s="4" t="s">
        <v>125</v>
      </c>
      <c r="AS1" s="4" t="s">
        <v>126</v>
      </c>
      <c r="AT1" s="4" t="s">
        <v>127</v>
      </c>
      <c r="AU1" s="4" t="s">
        <v>128</v>
      </c>
      <c r="AV1" s="4" t="s">
        <v>129</v>
      </c>
      <c r="AW1" s="4" t="s">
        <v>130</v>
      </c>
      <c r="AX1" s="4" t="s">
        <v>131</v>
      </c>
      <c r="AY1" s="4" t="s">
        <v>132</v>
      </c>
      <c r="AZ1" s="4" t="s">
        <v>133</v>
      </c>
      <c r="BA1" s="4" t="s">
        <v>134</v>
      </c>
      <c r="BB1" s="4" t="s">
        <v>135</v>
      </c>
      <c r="BC1" s="4" t="s">
        <v>136</v>
      </c>
      <c r="BD1" s="4" t="s">
        <v>137</v>
      </c>
      <c r="BE1" s="4" t="s">
        <v>138</v>
      </c>
      <c r="BF1" s="4" t="s">
        <v>139</v>
      </c>
      <c r="BG1" s="3" t="s">
        <v>140</v>
      </c>
      <c r="BH1" s="3" t="s">
        <v>141</v>
      </c>
      <c r="BI1" s="4" t="s">
        <v>142</v>
      </c>
      <c r="BJ1" s="4" t="s">
        <v>143</v>
      </c>
      <c r="BK1" s="4" t="s">
        <v>144</v>
      </c>
      <c r="BL1" s="4" t="s">
        <v>145</v>
      </c>
      <c r="BM1" s="4" t="s">
        <v>146</v>
      </c>
      <c r="BN1" s="4" t="s">
        <v>147</v>
      </c>
      <c r="BO1" s="4" t="s">
        <v>148</v>
      </c>
      <c r="BP1" s="4" t="s">
        <v>149</v>
      </c>
      <c r="BQ1" s="4" t="s">
        <v>150</v>
      </c>
      <c r="BR1" s="4" t="s">
        <v>151</v>
      </c>
      <c r="BS1" s="4" t="s">
        <v>152</v>
      </c>
      <c r="BT1" s="4" t="s">
        <v>163</v>
      </c>
      <c r="BU1" s="4" t="s">
        <v>164</v>
      </c>
      <c r="BV1" s="4" t="s">
        <v>165</v>
      </c>
      <c r="BW1" s="4" t="s">
        <v>166</v>
      </c>
      <c r="BX1" s="4" t="s">
        <v>167</v>
      </c>
      <c r="BY1" s="4" t="s">
        <v>168</v>
      </c>
      <c r="BZ1" s="4" t="s">
        <v>169</v>
      </c>
      <c r="CA1" s="4" t="s">
        <v>170</v>
      </c>
      <c r="CB1" s="4" t="s">
        <v>171</v>
      </c>
      <c r="CC1" s="4" t="s">
        <v>172</v>
      </c>
      <c r="CD1" s="4" t="s">
        <v>173</v>
      </c>
      <c r="CE1" s="4" t="s">
        <v>174</v>
      </c>
      <c r="CF1" s="4" t="s">
        <v>175</v>
      </c>
      <c r="CG1" s="4" t="s">
        <v>176</v>
      </c>
      <c r="CH1" s="4" t="s">
        <v>177</v>
      </c>
    </row>
    <row r="2" spans="1:86" ht="18.75" customHeight="1">
      <c r="A2" s="1" t="s">
        <v>17</v>
      </c>
      <c r="B2" s="1" t="s">
        <v>78</v>
      </c>
      <c r="C2" s="6">
        <v>72</v>
      </c>
      <c r="D2" s="5">
        <v>168.8</v>
      </c>
      <c r="E2" s="5">
        <v>54.4</v>
      </c>
      <c r="F2" s="4" t="s">
        <v>84</v>
      </c>
      <c r="G2" s="1" t="s">
        <v>87</v>
      </c>
      <c r="H2" s="6">
        <v>100</v>
      </c>
      <c r="I2" s="6">
        <v>0</v>
      </c>
      <c r="J2" s="6">
        <v>0</v>
      </c>
      <c r="K2" s="6">
        <v>8</v>
      </c>
      <c r="L2" s="6">
        <v>8</v>
      </c>
      <c r="M2" s="5">
        <v>7.5</v>
      </c>
      <c r="N2" s="6">
        <v>7</v>
      </c>
      <c r="O2" s="5">
        <v>9.5</v>
      </c>
      <c r="P2" s="5">
        <v>9.5</v>
      </c>
      <c r="Q2" s="5">
        <v>7.5</v>
      </c>
      <c r="R2" s="5">
        <v>7.5</v>
      </c>
      <c r="S2" s="5">
        <v>8.5</v>
      </c>
      <c r="T2" s="6">
        <v>9</v>
      </c>
      <c r="U2" s="6">
        <v>0</v>
      </c>
      <c r="V2" s="6">
        <v>26</v>
      </c>
      <c r="W2" s="6">
        <v>70</v>
      </c>
      <c r="X2" s="6">
        <v>50</v>
      </c>
      <c r="Y2" s="6">
        <v>70</v>
      </c>
      <c r="Z2" s="6">
        <v>100</v>
      </c>
      <c r="AA2" s="6">
        <v>100</v>
      </c>
      <c r="AB2" s="6">
        <v>70</v>
      </c>
      <c r="AC2" s="6">
        <v>70</v>
      </c>
      <c r="AD2" s="6">
        <v>90</v>
      </c>
      <c r="AE2" s="6">
        <v>90</v>
      </c>
      <c r="AF2" s="6">
        <v>80</v>
      </c>
      <c r="AG2" s="6">
        <v>70</v>
      </c>
      <c r="AH2" s="6">
        <v>50</v>
      </c>
      <c r="AI2" s="6">
        <v>50</v>
      </c>
      <c r="AJ2" s="6">
        <v>80</v>
      </c>
      <c r="AK2" s="6">
        <v>40</v>
      </c>
      <c r="AL2" s="6">
        <v>20</v>
      </c>
      <c r="AM2" s="6">
        <v>1100</v>
      </c>
      <c r="AN2" s="6">
        <v>3</v>
      </c>
      <c r="AO2" s="6">
        <v>2</v>
      </c>
      <c r="AP2" s="6">
        <v>1</v>
      </c>
      <c r="AQ2" s="6">
        <v>1</v>
      </c>
      <c r="AR2" s="6">
        <v>2</v>
      </c>
      <c r="AS2" s="6">
        <v>2</v>
      </c>
      <c r="AT2" s="6">
        <v>3</v>
      </c>
      <c r="AU2" s="6">
        <v>3</v>
      </c>
      <c r="AV2" s="6">
        <v>3</v>
      </c>
      <c r="AW2" s="6">
        <v>2</v>
      </c>
      <c r="AX2" s="6">
        <v>3</v>
      </c>
      <c r="AY2" s="6">
        <v>1</v>
      </c>
      <c r="AZ2" s="6">
        <v>2</v>
      </c>
      <c r="BA2" s="6">
        <v>2</v>
      </c>
      <c r="BB2" s="6">
        <v>2</v>
      </c>
      <c r="BC2" s="6">
        <v>2</v>
      </c>
      <c r="BD2" s="6">
        <v>34</v>
      </c>
      <c r="BE2" s="6">
        <v>26</v>
      </c>
      <c r="BF2" s="6">
        <v>36</v>
      </c>
      <c r="BG2" s="5">
        <v>10.199999999999999</v>
      </c>
      <c r="BH2" s="6">
        <v>8</v>
      </c>
      <c r="BI2" s="6">
        <v>3</v>
      </c>
      <c r="BJ2" s="6">
        <v>7</v>
      </c>
      <c r="BK2" s="6">
        <v>8</v>
      </c>
      <c r="BL2" s="6">
        <v>14</v>
      </c>
      <c r="BM2" s="6">
        <v>30</v>
      </c>
      <c r="BN2" s="6">
        <v>0</v>
      </c>
      <c r="BO2" s="6">
        <v>30</v>
      </c>
      <c r="BP2" s="6">
        <v>0</v>
      </c>
      <c r="BQ2" s="6">
        <v>11</v>
      </c>
      <c r="BR2" s="6">
        <v>0</v>
      </c>
      <c r="BS2" s="6">
        <v>0</v>
      </c>
      <c r="BT2" s="6">
        <v>0</v>
      </c>
      <c r="BU2" s="6">
        <v>0</v>
      </c>
      <c r="BV2" s="6">
        <v>0</v>
      </c>
      <c r="BW2" s="6">
        <v>0</v>
      </c>
      <c r="BX2" s="6">
        <v>7</v>
      </c>
      <c r="BY2" s="6">
        <v>30</v>
      </c>
      <c r="BZ2" s="6">
        <v>120</v>
      </c>
      <c r="CA2" s="6">
        <v>0</v>
      </c>
      <c r="CB2" s="6">
        <v>0</v>
      </c>
      <c r="CC2" s="6">
        <v>0</v>
      </c>
      <c r="CD2" s="6">
        <v>0</v>
      </c>
      <c r="CE2" s="6">
        <v>0</v>
      </c>
      <c r="CF2" s="6">
        <v>0</v>
      </c>
      <c r="CG2" s="6">
        <v>0</v>
      </c>
      <c r="CH2" s="6">
        <v>0</v>
      </c>
    </row>
    <row r="3" spans="1:86" ht="18.75" customHeight="1">
      <c r="A3" s="1" t="s">
        <v>18</v>
      </c>
      <c r="B3" s="1" t="s">
        <v>78</v>
      </c>
      <c r="C3" s="6">
        <v>60</v>
      </c>
      <c r="D3" s="6">
        <v>152</v>
      </c>
      <c r="E3" s="6">
        <v>63</v>
      </c>
      <c r="F3" s="4" t="s">
        <v>85</v>
      </c>
      <c r="G3" s="1" t="s">
        <v>87</v>
      </c>
      <c r="H3" s="6">
        <v>70</v>
      </c>
      <c r="I3" s="6">
        <v>0</v>
      </c>
      <c r="J3" s="6">
        <v>0</v>
      </c>
      <c r="K3" s="5">
        <v>7.5</v>
      </c>
      <c r="L3" s="5">
        <v>7.5</v>
      </c>
      <c r="M3" s="6">
        <v>6</v>
      </c>
      <c r="N3" s="6">
        <v>6</v>
      </c>
      <c r="O3" s="6">
        <v>11</v>
      </c>
      <c r="P3" s="6">
        <v>11</v>
      </c>
      <c r="Q3" s="6">
        <v>8</v>
      </c>
      <c r="R3" s="6">
        <v>8</v>
      </c>
      <c r="S3" s="5">
        <v>9.5</v>
      </c>
      <c r="T3" s="5">
        <v>9.5</v>
      </c>
      <c r="U3" s="6">
        <v>0</v>
      </c>
      <c r="V3" s="5">
        <v>23.5</v>
      </c>
      <c r="W3" s="6">
        <v>100</v>
      </c>
      <c r="X3" s="6">
        <v>100</v>
      </c>
      <c r="Y3" s="6">
        <v>100</v>
      </c>
      <c r="Z3" s="6">
        <v>100</v>
      </c>
      <c r="AA3" s="6">
        <v>100</v>
      </c>
      <c r="AB3" s="6">
        <v>100</v>
      </c>
      <c r="AC3" s="6">
        <v>100</v>
      </c>
      <c r="AD3" s="6">
        <v>100</v>
      </c>
      <c r="AE3" s="6">
        <v>100</v>
      </c>
      <c r="AF3" s="6">
        <v>100</v>
      </c>
      <c r="AG3" s="6">
        <v>100</v>
      </c>
      <c r="AH3" s="6">
        <v>100</v>
      </c>
      <c r="AI3" s="6">
        <v>100</v>
      </c>
      <c r="AJ3" s="6">
        <v>100</v>
      </c>
      <c r="AK3" s="6">
        <v>100</v>
      </c>
      <c r="AL3" s="6">
        <v>100</v>
      </c>
      <c r="AM3" s="6">
        <v>1600</v>
      </c>
      <c r="AN3" s="6">
        <v>1</v>
      </c>
      <c r="AO3" s="6">
        <v>1</v>
      </c>
      <c r="AP3" s="6">
        <v>1</v>
      </c>
      <c r="AQ3" s="6">
        <v>1</v>
      </c>
      <c r="AR3" s="6">
        <v>1</v>
      </c>
      <c r="AS3" s="6">
        <v>1</v>
      </c>
      <c r="AT3" s="6">
        <v>1</v>
      </c>
      <c r="AU3" s="6">
        <v>1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16</v>
      </c>
      <c r="BE3" s="6">
        <v>25</v>
      </c>
      <c r="BF3" s="6">
        <v>34</v>
      </c>
      <c r="BG3" s="5">
        <v>8.9</v>
      </c>
      <c r="BH3" s="5">
        <v>6.39</v>
      </c>
      <c r="BI3" s="6">
        <v>32</v>
      </c>
      <c r="BJ3" s="6">
        <v>60</v>
      </c>
      <c r="BK3" s="6">
        <v>59</v>
      </c>
      <c r="BL3" s="6">
        <v>60</v>
      </c>
      <c r="BM3" s="6">
        <v>21</v>
      </c>
      <c r="BN3" s="6">
        <v>0</v>
      </c>
      <c r="BO3" s="6">
        <v>19</v>
      </c>
      <c r="BP3" s="6">
        <v>0</v>
      </c>
      <c r="BQ3" s="6">
        <v>14</v>
      </c>
      <c r="BR3" s="6">
        <v>0</v>
      </c>
      <c r="BS3" s="6">
        <v>0</v>
      </c>
      <c r="BT3" s="6">
        <v>1</v>
      </c>
      <c r="BU3" s="6">
        <v>80</v>
      </c>
      <c r="BV3" s="6">
        <v>3</v>
      </c>
      <c r="BW3" s="6">
        <v>180</v>
      </c>
      <c r="BX3" s="6">
        <v>7</v>
      </c>
      <c r="BY3" s="6">
        <v>180</v>
      </c>
      <c r="BZ3" s="6">
        <v>120</v>
      </c>
      <c r="CA3" s="6">
        <v>0</v>
      </c>
      <c r="CB3" s="6">
        <v>0</v>
      </c>
      <c r="CC3" s="6">
        <v>0</v>
      </c>
      <c r="CD3" s="6">
        <v>0</v>
      </c>
      <c r="CE3" s="6">
        <v>0</v>
      </c>
      <c r="CF3" s="6">
        <v>0</v>
      </c>
      <c r="CG3" s="6">
        <v>0</v>
      </c>
      <c r="CH3" s="6">
        <v>0</v>
      </c>
    </row>
    <row r="4" spans="1:86" ht="18.75" customHeight="1">
      <c r="A4" s="1" t="s">
        <v>20</v>
      </c>
      <c r="B4" s="1" t="s">
        <v>78</v>
      </c>
      <c r="C4" s="6">
        <v>67</v>
      </c>
      <c r="D4" s="5">
        <v>158.5</v>
      </c>
      <c r="E4" s="6">
        <v>49</v>
      </c>
      <c r="F4" s="4" t="s">
        <v>85</v>
      </c>
      <c r="G4" s="1" t="s">
        <v>87</v>
      </c>
      <c r="H4" s="6">
        <v>87</v>
      </c>
      <c r="I4" s="6">
        <v>0</v>
      </c>
      <c r="J4" s="6">
        <v>0</v>
      </c>
      <c r="K4" s="6">
        <v>9</v>
      </c>
      <c r="L4" s="5">
        <v>8.5</v>
      </c>
      <c r="M4" s="6">
        <v>6</v>
      </c>
      <c r="N4" s="6">
        <v>6</v>
      </c>
      <c r="O4" s="6">
        <v>12</v>
      </c>
      <c r="P4" s="6">
        <v>12</v>
      </c>
      <c r="Q4" s="6">
        <v>7</v>
      </c>
      <c r="R4" s="6">
        <v>7</v>
      </c>
      <c r="S4" s="5">
        <v>9.5</v>
      </c>
      <c r="T4" s="5">
        <v>9.5</v>
      </c>
      <c r="U4" s="6">
        <v>0</v>
      </c>
      <c r="V4" s="6">
        <v>24</v>
      </c>
      <c r="W4" s="6">
        <v>100</v>
      </c>
      <c r="X4" s="6">
        <v>70</v>
      </c>
      <c r="Y4" s="6">
        <v>80</v>
      </c>
      <c r="Z4" s="6">
        <v>90</v>
      </c>
      <c r="AA4" s="6">
        <v>80</v>
      </c>
      <c r="AB4" s="6">
        <v>70</v>
      </c>
      <c r="AC4" s="6">
        <v>100</v>
      </c>
      <c r="AD4" s="6">
        <v>100</v>
      </c>
      <c r="AE4" s="6">
        <v>100</v>
      </c>
      <c r="AF4" s="6">
        <v>100</v>
      </c>
      <c r="AG4" s="6">
        <v>90</v>
      </c>
      <c r="AH4" s="6">
        <v>100</v>
      </c>
      <c r="AI4" s="6">
        <v>100</v>
      </c>
      <c r="AJ4" s="6">
        <v>90</v>
      </c>
      <c r="AK4" s="6">
        <v>90</v>
      </c>
      <c r="AL4" s="6">
        <v>80</v>
      </c>
      <c r="AM4" s="6">
        <v>1440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6">
        <v>1</v>
      </c>
      <c r="AU4" s="6">
        <v>1</v>
      </c>
      <c r="AV4" s="6">
        <v>2</v>
      </c>
      <c r="AW4" s="6">
        <v>1</v>
      </c>
      <c r="AX4" s="6">
        <v>2</v>
      </c>
      <c r="AY4" s="6">
        <v>1</v>
      </c>
      <c r="AZ4" s="6">
        <v>1</v>
      </c>
      <c r="BA4" s="6">
        <v>2</v>
      </c>
      <c r="BB4" s="6">
        <v>2</v>
      </c>
      <c r="BC4" s="6">
        <v>1</v>
      </c>
      <c r="BD4" s="6">
        <v>20</v>
      </c>
      <c r="BE4" s="6">
        <v>21</v>
      </c>
      <c r="BF4" s="6">
        <v>26</v>
      </c>
      <c r="BG4" s="5">
        <v>7.9</v>
      </c>
      <c r="BH4" s="5">
        <v>7.1</v>
      </c>
      <c r="BI4" s="6">
        <v>54</v>
      </c>
      <c r="BJ4" s="6">
        <v>60</v>
      </c>
      <c r="BK4" s="6">
        <v>60</v>
      </c>
      <c r="BL4" s="6">
        <v>60</v>
      </c>
      <c r="BM4" s="6">
        <v>22</v>
      </c>
      <c r="BN4" s="6">
        <v>0</v>
      </c>
      <c r="BO4" s="6">
        <v>22</v>
      </c>
      <c r="BP4" s="6">
        <v>0</v>
      </c>
      <c r="BQ4" s="6">
        <v>14</v>
      </c>
      <c r="BR4" s="6">
        <v>0</v>
      </c>
      <c r="BS4" s="6">
        <v>0</v>
      </c>
      <c r="BT4" s="6">
        <v>4</v>
      </c>
      <c r="BU4" s="6">
        <v>80</v>
      </c>
      <c r="BV4" s="6">
        <v>0</v>
      </c>
      <c r="BW4" s="6">
        <v>0</v>
      </c>
      <c r="BX4" s="6">
        <v>5</v>
      </c>
      <c r="BY4" s="6">
        <v>60</v>
      </c>
      <c r="BZ4" s="6">
        <v>240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</row>
    <row r="5" spans="1:86" ht="18.75" customHeight="1">
      <c r="A5" s="1" t="s">
        <v>21</v>
      </c>
      <c r="B5" s="1" t="s">
        <v>78</v>
      </c>
      <c r="C5" s="6">
        <v>73</v>
      </c>
      <c r="D5" s="6">
        <v>165</v>
      </c>
      <c r="E5" s="6">
        <v>60</v>
      </c>
      <c r="F5" s="4" t="s">
        <v>85</v>
      </c>
      <c r="G5" s="1" t="s">
        <v>87</v>
      </c>
      <c r="H5" s="6">
        <v>85</v>
      </c>
      <c r="I5" s="6">
        <v>35</v>
      </c>
      <c r="J5" s="6">
        <v>32</v>
      </c>
      <c r="K5" s="6">
        <v>9</v>
      </c>
      <c r="L5" s="6">
        <v>9</v>
      </c>
      <c r="M5" s="6">
        <v>6</v>
      </c>
      <c r="N5" s="6">
        <v>6</v>
      </c>
      <c r="O5" s="6">
        <v>10</v>
      </c>
      <c r="P5" s="6">
        <v>10</v>
      </c>
      <c r="Q5" s="6">
        <v>5</v>
      </c>
      <c r="R5" s="6">
        <v>5</v>
      </c>
      <c r="S5" s="6">
        <v>8</v>
      </c>
      <c r="T5" s="6">
        <v>8</v>
      </c>
      <c r="U5" s="6">
        <v>23</v>
      </c>
      <c r="V5" s="6">
        <v>23</v>
      </c>
      <c r="W5" s="6">
        <v>100</v>
      </c>
      <c r="X5" s="6">
        <v>80</v>
      </c>
      <c r="Y5" s="6">
        <v>100</v>
      </c>
      <c r="Z5" s="6">
        <v>100</v>
      </c>
      <c r="AA5" s="6">
        <v>100</v>
      </c>
      <c r="AB5" s="6">
        <v>80</v>
      </c>
      <c r="AC5" s="6">
        <v>100</v>
      </c>
      <c r="AD5" s="6">
        <v>100</v>
      </c>
      <c r="AE5" s="6">
        <v>100</v>
      </c>
      <c r="AF5" s="6">
        <v>100</v>
      </c>
      <c r="AG5" s="6">
        <v>70</v>
      </c>
      <c r="AH5" s="6">
        <v>100</v>
      </c>
      <c r="AI5" s="6">
        <v>90</v>
      </c>
      <c r="AJ5" s="6">
        <v>100</v>
      </c>
      <c r="AK5" s="6">
        <v>100</v>
      </c>
      <c r="AL5" s="6">
        <v>60</v>
      </c>
      <c r="AM5" s="6">
        <v>1480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6">
        <v>1</v>
      </c>
      <c r="AU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2</v>
      </c>
      <c r="BB5" s="6">
        <v>2</v>
      </c>
      <c r="BC5" s="6">
        <v>1</v>
      </c>
      <c r="BD5" s="6">
        <v>19</v>
      </c>
      <c r="BE5" s="6">
        <v>20</v>
      </c>
      <c r="BF5" s="6">
        <v>35</v>
      </c>
      <c r="BG5" s="5">
        <v>9.1999999999999993</v>
      </c>
      <c r="BH5" s="5">
        <v>6.9</v>
      </c>
      <c r="BI5" s="6">
        <v>5</v>
      </c>
      <c r="BJ5" s="6">
        <v>9</v>
      </c>
      <c r="BK5" s="6">
        <v>9</v>
      </c>
      <c r="BL5" s="6">
        <v>6</v>
      </c>
      <c r="BM5" s="6">
        <v>24</v>
      </c>
      <c r="BN5" s="6">
        <v>0</v>
      </c>
      <c r="BO5" s="5">
        <v>24.5</v>
      </c>
      <c r="BP5" s="6">
        <v>0</v>
      </c>
      <c r="BQ5" s="6">
        <v>13</v>
      </c>
      <c r="BR5" s="6">
        <v>0</v>
      </c>
      <c r="BS5" s="6">
        <v>0</v>
      </c>
      <c r="BT5" s="6">
        <v>2</v>
      </c>
      <c r="BU5" s="6">
        <v>60</v>
      </c>
      <c r="BV5" s="6">
        <v>0</v>
      </c>
      <c r="BW5" s="6">
        <v>0</v>
      </c>
      <c r="BX5" s="6">
        <v>7</v>
      </c>
      <c r="BY5" s="6">
        <v>40</v>
      </c>
      <c r="BZ5" s="6">
        <v>240</v>
      </c>
      <c r="CA5" s="6">
        <v>0</v>
      </c>
      <c r="CB5" s="6">
        <v>0</v>
      </c>
      <c r="CC5" s="6">
        <v>0</v>
      </c>
      <c r="CD5" s="6">
        <v>0</v>
      </c>
      <c r="CE5" s="6">
        <v>0</v>
      </c>
      <c r="CF5" s="6">
        <v>0</v>
      </c>
      <c r="CG5" s="6">
        <v>0</v>
      </c>
      <c r="CH5" s="6">
        <v>0</v>
      </c>
    </row>
    <row r="6" spans="1:86" ht="18.75" customHeight="1">
      <c r="A6" s="1" t="s">
        <v>19</v>
      </c>
      <c r="B6" s="1" t="s">
        <v>78</v>
      </c>
      <c r="C6" s="6">
        <v>78</v>
      </c>
      <c r="D6" s="6">
        <v>148</v>
      </c>
      <c r="E6" s="6">
        <v>46</v>
      </c>
      <c r="F6" s="4" t="s">
        <v>85</v>
      </c>
      <c r="G6" s="1" t="s">
        <v>87</v>
      </c>
      <c r="H6" s="6">
        <v>74</v>
      </c>
      <c r="I6" s="6">
        <v>0</v>
      </c>
      <c r="J6" s="6">
        <v>0</v>
      </c>
      <c r="K6" s="6">
        <v>8</v>
      </c>
      <c r="L6" s="6">
        <v>9</v>
      </c>
      <c r="M6" s="5">
        <v>9.5</v>
      </c>
      <c r="N6" s="5">
        <v>9.5</v>
      </c>
      <c r="O6" s="6">
        <v>12</v>
      </c>
      <c r="P6" s="6">
        <v>12</v>
      </c>
      <c r="Q6" s="6">
        <v>8</v>
      </c>
      <c r="R6" s="6">
        <v>8</v>
      </c>
      <c r="S6" s="6">
        <v>10</v>
      </c>
      <c r="T6" s="6">
        <v>9</v>
      </c>
      <c r="U6" s="6">
        <v>0</v>
      </c>
      <c r="V6" s="6">
        <v>23</v>
      </c>
      <c r="W6" s="6">
        <v>100</v>
      </c>
      <c r="X6" s="6">
        <v>100</v>
      </c>
      <c r="Y6" s="6">
        <v>100</v>
      </c>
      <c r="Z6" s="6">
        <v>100</v>
      </c>
      <c r="AA6" s="6">
        <v>100</v>
      </c>
      <c r="AB6" s="6">
        <v>100</v>
      </c>
      <c r="AC6" s="6">
        <v>100</v>
      </c>
      <c r="AD6" s="6">
        <v>100</v>
      </c>
      <c r="AE6" s="6">
        <v>100</v>
      </c>
      <c r="AF6" s="6">
        <v>100</v>
      </c>
      <c r="AG6" s="6">
        <v>100</v>
      </c>
      <c r="AH6" s="6">
        <v>100</v>
      </c>
      <c r="AI6" s="6">
        <v>100</v>
      </c>
      <c r="AJ6" s="6">
        <v>100</v>
      </c>
      <c r="AK6" s="6">
        <v>100</v>
      </c>
      <c r="AL6" s="6">
        <v>100</v>
      </c>
      <c r="AM6" s="6">
        <v>1600</v>
      </c>
      <c r="AN6" s="6">
        <v>1</v>
      </c>
      <c r="AO6" s="6">
        <v>1</v>
      </c>
      <c r="AP6" s="6">
        <v>1</v>
      </c>
      <c r="AQ6" s="6">
        <v>1</v>
      </c>
      <c r="AR6" s="6">
        <v>1</v>
      </c>
      <c r="AS6" s="6">
        <v>1</v>
      </c>
      <c r="AT6" s="6">
        <v>1</v>
      </c>
      <c r="AU6" s="6">
        <v>1</v>
      </c>
      <c r="AV6" s="6">
        <v>1</v>
      </c>
      <c r="AW6" s="6">
        <v>1</v>
      </c>
      <c r="AX6" s="6">
        <v>1</v>
      </c>
      <c r="AY6" s="6">
        <v>1</v>
      </c>
      <c r="AZ6" s="6">
        <v>1</v>
      </c>
      <c r="BA6" s="6">
        <v>1</v>
      </c>
      <c r="BB6" s="6">
        <v>1</v>
      </c>
      <c r="BC6" s="6">
        <v>1</v>
      </c>
      <c r="BD6" s="6">
        <v>16</v>
      </c>
      <c r="BE6" s="6">
        <v>15</v>
      </c>
      <c r="BF6" s="6">
        <v>25</v>
      </c>
      <c r="BG6" s="5">
        <v>9.4</v>
      </c>
      <c r="BH6" s="5">
        <v>6.9</v>
      </c>
      <c r="BI6" s="6">
        <v>5</v>
      </c>
      <c r="BJ6" s="6">
        <v>2</v>
      </c>
      <c r="BK6" s="6">
        <v>5</v>
      </c>
      <c r="BL6" s="6">
        <v>4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3</v>
      </c>
      <c r="BU6" s="6">
        <v>30</v>
      </c>
      <c r="BV6" s="6">
        <v>4</v>
      </c>
      <c r="BW6" s="6">
        <v>30</v>
      </c>
      <c r="BX6" s="6">
        <v>7</v>
      </c>
      <c r="BY6" s="6">
        <v>40</v>
      </c>
      <c r="BZ6" s="6">
        <v>40</v>
      </c>
      <c r="CA6" s="6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6">
        <v>0</v>
      </c>
    </row>
    <row r="7" spans="1:86" ht="18.75" customHeight="1">
      <c r="A7" s="1" t="s">
        <v>11</v>
      </c>
      <c r="B7" s="1" t="s">
        <v>79</v>
      </c>
      <c r="C7" s="6">
        <v>80</v>
      </c>
      <c r="D7" s="6">
        <v>158</v>
      </c>
      <c r="E7" s="6">
        <v>54</v>
      </c>
      <c r="F7" s="4" t="s">
        <v>85</v>
      </c>
      <c r="G7" s="1" t="s">
        <v>87</v>
      </c>
      <c r="H7" s="6">
        <v>83</v>
      </c>
      <c r="I7" s="6">
        <v>0</v>
      </c>
      <c r="J7" s="6">
        <v>0</v>
      </c>
      <c r="K7" s="6">
        <v>8</v>
      </c>
      <c r="L7" s="6">
        <v>8</v>
      </c>
      <c r="M7" s="6">
        <v>7</v>
      </c>
      <c r="N7" s="5">
        <v>6.5</v>
      </c>
      <c r="O7" s="6">
        <v>12</v>
      </c>
      <c r="P7" s="6">
        <v>12</v>
      </c>
      <c r="Q7" s="6">
        <v>9</v>
      </c>
      <c r="R7" s="6">
        <v>9</v>
      </c>
      <c r="S7" s="6">
        <v>12</v>
      </c>
      <c r="T7" s="6">
        <v>13</v>
      </c>
      <c r="U7" s="6">
        <v>0</v>
      </c>
      <c r="V7" s="6">
        <v>25</v>
      </c>
      <c r="W7" s="6">
        <v>100</v>
      </c>
      <c r="X7" s="6">
        <v>100</v>
      </c>
      <c r="Y7" s="6">
        <v>100</v>
      </c>
      <c r="Z7" s="6">
        <v>100</v>
      </c>
      <c r="AA7" s="6">
        <v>100</v>
      </c>
      <c r="AB7" s="6">
        <v>100</v>
      </c>
      <c r="AC7" s="6">
        <v>100</v>
      </c>
      <c r="AD7" s="6">
        <v>100</v>
      </c>
      <c r="AE7" s="6">
        <v>100</v>
      </c>
      <c r="AF7" s="6">
        <v>100</v>
      </c>
      <c r="AG7" s="6">
        <v>100</v>
      </c>
      <c r="AH7" s="6">
        <v>100</v>
      </c>
      <c r="AI7" s="6">
        <v>100</v>
      </c>
      <c r="AJ7" s="6">
        <v>100</v>
      </c>
      <c r="AK7" s="6">
        <v>100</v>
      </c>
      <c r="AL7" s="6">
        <v>100</v>
      </c>
      <c r="AM7" s="6">
        <v>1600</v>
      </c>
      <c r="AN7" s="6">
        <v>1</v>
      </c>
      <c r="AO7" s="6">
        <v>1</v>
      </c>
      <c r="AP7" s="6">
        <v>1</v>
      </c>
      <c r="AQ7" s="6">
        <v>1</v>
      </c>
      <c r="AR7" s="6">
        <v>1</v>
      </c>
      <c r="AS7" s="6">
        <v>1</v>
      </c>
      <c r="AT7" s="6">
        <v>1</v>
      </c>
      <c r="AU7" s="6">
        <v>1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16</v>
      </c>
      <c r="BE7" s="6">
        <v>25</v>
      </c>
      <c r="BF7" s="6">
        <v>30</v>
      </c>
      <c r="BG7" s="5">
        <v>10.8</v>
      </c>
      <c r="BH7" s="5">
        <v>7.6</v>
      </c>
      <c r="BI7" s="6">
        <v>12</v>
      </c>
      <c r="BJ7" s="6">
        <v>15</v>
      </c>
      <c r="BK7" s="6">
        <v>4</v>
      </c>
      <c r="BL7" s="6">
        <v>18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3</v>
      </c>
      <c r="BU7" s="6">
        <v>60</v>
      </c>
      <c r="BV7" s="6">
        <v>7</v>
      </c>
      <c r="BW7" s="6">
        <v>60</v>
      </c>
      <c r="BX7" s="6">
        <v>7</v>
      </c>
      <c r="BY7" s="6">
        <v>60</v>
      </c>
      <c r="BZ7" s="6">
        <v>60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</row>
    <row r="8" spans="1:86" ht="18.75" customHeight="1">
      <c r="A8" s="1" t="s">
        <v>22</v>
      </c>
      <c r="B8" s="1" t="s">
        <v>78</v>
      </c>
      <c r="C8" s="6">
        <v>73</v>
      </c>
      <c r="D8" s="6">
        <v>155</v>
      </c>
      <c r="E8" s="6">
        <v>59</v>
      </c>
      <c r="F8" s="4" t="s">
        <v>85</v>
      </c>
      <c r="G8" s="1" t="s">
        <v>87</v>
      </c>
      <c r="H8" s="6">
        <v>82</v>
      </c>
      <c r="I8" s="6">
        <v>15</v>
      </c>
      <c r="J8" s="6">
        <v>15</v>
      </c>
      <c r="K8" s="5">
        <v>9.5</v>
      </c>
      <c r="L8" s="5">
        <v>9.5</v>
      </c>
      <c r="M8" s="6">
        <v>6</v>
      </c>
      <c r="N8" s="6">
        <v>6</v>
      </c>
      <c r="O8" s="5">
        <v>9.5</v>
      </c>
      <c r="P8" s="5">
        <v>9.5</v>
      </c>
      <c r="Q8" s="5">
        <v>6.5</v>
      </c>
      <c r="R8" s="5">
        <v>6.5</v>
      </c>
      <c r="S8" s="5">
        <v>7.5</v>
      </c>
      <c r="T8" s="5">
        <v>7.5</v>
      </c>
      <c r="U8" s="6">
        <v>0</v>
      </c>
      <c r="V8" s="6">
        <v>23</v>
      </c>
      <c r="W8" s="6">
        <v>100</v>
      </c>
      <c r="X8" s="6">
        <v>100</v>
      </c>
      <c r="Y8" s="6">
        <v>100</v>
      </c>
      <c r="Z8" s="6">
        <v>100</v>
      </c>
      <c r="AA8" s="6">
        <v>100</v>
      </c>
      <c r="AB8" s="6">
        <v>100</v>
      </c>
      <c r="AC8" s="6">
        <v>100</v>
      </c>
      <c r="AD8" s="6">
        <v>100</v>
      </c>
      <c r="AE8" s="6">
        <v>100</v>
      </c>
      <c r="AF8" s="6">
        <v>100</v>
      </c>
      <c r="AG8" s="6">
        <v>100</v>
      </c>
      <c r="AH8" s="6">
        <v>100</v>
      </c>
      <c r="AI8" s="6">
        <v>100</v>
      </c>
      <c r="AJ8" s="6">
        <v>100</v>
      </c>
      <c r="AK8" s="6">
        <v>100</v>
      </c>
      <c r="AL8" s="6">
        <v>100</v>
      </c>
      <c r="AM8" s="6">
        <v>1600</v>
      </c>
      <c r="AN8" s="6">
        <v>1</v>
      </c>
      <c r="AO8" s="6">
        <v>1</v>
      </c>
      <c r="AP8" s="6">
        <v>1</v>
      </c>
      <c r="AQ8" s="6">
        <v>1</v>
      </c>
      <c r="AR8" s="6">
        <v>1</v>
      </c>
      <c r="AS8" s="6">
        <v>1</v>
      </c>
      <c r="AT8" s="6">
        <v>1</v>
      </c>
      <c r="AU8" s="6">
        <v>1</v>
      </c>
      <c r="AV8" s="6">
        <v>1</v>
      </c>
      <c r="AW8" s="6">
        <v>1</v>
      </c>
      <c r="AX8" s="6">
        <v>1</v>
      </c>
      <c r="AY8" s="6">
        <v>1</v>
      </c>
      <c r="AZ8" s="6">
        <v>1</v>
      </c>
      <c r="BA8" s="6">
        <v>1</v>
      </c>
      <c r="BB8" s="6">
        <v>1</v>
      </c>
      <c r="BC8" s="6">
        <v>1</v>
      </c>
      <c r="BD8" s="6">
        <v>16</v>
      </c>
      <c r="BE8" s="6">
        <v>18</v>
      </c>
      <c r="BF8" s="6">
        <v>24</v>
      </c>
      <c r="BG8" s="5">
        <v>9.4</v>
      </c>
      <c r="BH8" s="5">
        <v>7.37</v>
      </c>
      <c r="BI8" s="6">
        <v>60</v>
      </c>
      <c r="BJ8" s="6">
        <v>60</v>
      </c>
      <c r="BK8" s="6">
        <v>60</v>
      </c>
      <c r="BL8" s="6">
        <v>33</v>
      </c>
      <c r="BM8" s="6">
        <v>21</v>
      </c>
      <c r="BN8" s="6">
        <v>21</v>
      </c>
      <c r="BO8" s="6">
        <v>21</v>
      </c>
      <c r="BP8" s="6">
        <v>21</v>
      </c>
      <c r="BQ8" s="6">
        <v>16</v>
      </c>
      <c r="BR8" s="6">
        <v>0</v>
      </c>
      <c r="BS8" s="6">
        <v>0</v>
      </c>
      <c r="BT8" s="6">
        <v>2</v>
      </c>
      <c r="BU8" s="6">
        <v>180</v>
      </c>
      <c r="BV8" s="6">
        <v>0</v>
      </c>
      <c r="BW8" s="6">
        <v>0</v>
      </c>
      <c r="BX8" s="6">
        <v>7</v>
      </c>
      <c r="BY8" s="6">
        <v>150</v>
      </c>
      <c r="BZ8" s="6">
        <v>150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</row>
    <row r="9" spans="1:86" ht="18.75" customHeight="1">
      <c r="A9" s="1" t="s">
        <v>23</v>
      </c>
      <c r="B9" s="1" t="s">
        <v>78</v>
      </c>
      <c r="C9" s="6">
        <v>75</v>
      </c>
      <c r="D9" s="6">
        <v>151</v>
      </c>
      <c r="E9" s="6">
        <v>40</v>
      </c>
      <c r="F9" s="4" t="s">
        <v>85</v>
      </c>
      <c r="G9" s="1" t="s">
        <v>87</v>
      </c>
      <c r="H9" s="6">
        <v>80</v>
      </c>
      <c r="I9" s="6">
        <v>15</v>
      </c>
      <c r="J9" s="6">
        <v>15</v>
      </c>
      <c r="K9" s="6">
        <v>8</v>
      </c>
      <c r="L9" s="5">
        <v>7.5</v>
      </c>
      <c r="M9" s="5">
        <v>5.5</v>
      </c>
      <c r="N9" s="5">
        <v>5.5</v>
      </c>
      <c r="O9" s="5">
        <v>8.5</v>
      </c>
      <c r="P9" s="5">
        <v>8.5</v>
      </c>
      <c r="Q9" s="5">
        <v>7.5</v>
      </c>
      <c r="R9" s="6">
        <v>8</v>
      </c>
      <c r="S9" s="5">
        <v>8.5</v>
      </c>
      <c r="T9" s="5">
        <v>8.5</v>
      </c>
      <c r="U9" s="6">
        <v>22</v>
      </c>
      <c r="V9" s="6">
        <v>0</v>
      </c>
      <c r="W9" s="6">
        <v>100</v>
      </c>
      <c r="X9" s="6">
        <v>100</v>
      </c>
      <c r="Y9" s="6">
        <v>100</v>
      </c>
      <c r="Z9" s="6">
        <v>100</v>
      </c>
      <c r="AA9" s="6">
        <v>100</v>
      </c>
      <c r="AB9" s="6">
        <v>100</v>
      </c>
      <c r="AC9" s="6">
        <v>100</v>
      </c>
      <c r="AD9" s="6">
        <v>100</v>
      </c>
      <c r="AE9" s="6">
        <v>100</v>
      </c>
      <c r="AF9" s="6">
        <v>100</v>
      </c>
      <c r="AG9" s="6">
        <v>100</v>
      </c>
      <c r="AH9" s="6">
        <v>100</v>
      </c>
      <c r="AI9" s="6">
        <v>100</v>
      </c>
      <c r="AJ9" s="6">
        <v>100</v>
      </c>
      <c r="AK9" s="6">
        <v>100</v>
      </c>
      <c r="AL9" s="6">
        <v>100</v>
      </c>
      <c r="AM9" s="6">
        <v>1600</v>
      </c>
      <c r="AN9" s="6">
        <v>1</v>
      </c>
      <c r="AO9" s="6">
        <v>1</v>
      </c>
      <c r="AP9" s="6">
        <v>1</v>
      </c>
      <c r="AQ9" s="6">
        <v>1</v>
      </c>
      <c r="AR9" s="6">
        <v>1</v>
      </c>
      <c r="AS9" s="6">
        <v>1</v>
      </c>
      <c r="AT9" s="6">
        <v>1</v>
      </c>
      <c r="AU9" s="6">
        <v>1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16</v>
      </c>
      <c r="BE9" s="6">
        <v>16</v>
      </c>
      <c r="BF9" s="6">
        <v>32</v>
      </c>
      <c r="BG9" s="5">
        <v>8.6999999999999993</v>
      </c>
      <c r="BH9" s="5">
        <v>6.5</v>
      </c>
      <c r="BI9" s="6">
        <v>10</v>
      </c>
      <c r="BJ9" s="6">
        <v>44</v>
      </c>
      <c r="BK9" s="6">
        <v>27</v>
      </c>
      <c r="BL9" s="6">
        <v>60</v>
      </c>
      <c r="BM9" s="6">
        <v>21</v>
      </c>
      <c r="BN9" s="5">
        <v>21.5</v>
      </c>
      <c r="BO9" s="6">
        <v>20</v>
      </c>
      <c r="BP9" s="6">
        <v>20</v>
      </c>
      <c r="BQ9" s="6">
        <v>13</v>
      </c>
      <c r="BR9" s="6">
        <v>0</v>
      </c>
      <c r="BS9" s="6">
        <v>0</v>
      </c>
      <c r="BT9" s="6">
        <v>7</v>
      </c>
      <c r="BU9" s="6">
        <v>150</v>
      </c>
      <c r="BV9" s="6">
        <v>0</v>
      </c>
      <c r="BW9" s="6">
        <v>0</v>
      </c>
      <c r="BX9" s="6">
        <v>7</v>
      </c>
      <c r="BY9" s="6">
        <v>45</v>
      </c>
      <c r="BZ9" s="6">
        <v>30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</row>
    <row r="10" spans="1:86" ht="18.75" customHeight="1">
      <c r="A10" s="1" t="s">
        <v>24</v>
      </c>
      <c r="B10" s="1" t="s">
        <v>78</v>
      </c>
      <c r="C10" s="6">
        <v>64</v>
      </c>
      <c r="D10" s="6">
        <v>151</v>
      </c>
      <c r="E10" s="6">
        <v>76</v>
      </c>
      <c r="F10" s="4" t="s">
        <v>85</v>
      </c>
      <c r="G10" s="1" t="s">
        <v>87</v>
      </c>
      <c r="H10" s="6">
        <v>76</v>
      </c>
      <c r="I10" s="6">
        <v>16</v>
      </c>
      <c r="J10" s="6">
        <v>16</v>
      </c>
      <c r="K10" s="5">
        <v>7.5</v>
      </c>
      <c r="L10" s="5">
        <v>7.5</v>
      </c>
      <c r="M10" s="6">
        <v>5</v>
      </c>
      <c r="N10" s="6">
        <v>5</v>
      </c>
      <c r="O10" s="6">
        <v>10</v>
      </c>
      <c r="P10" s="5">
        <v>9.5</v>
      </c>
      <c r="Q10" s="5">
        <v>7.5</v>
      </c>
      <c r="R10" s="5">
        <v>7.5</v>
      </c>
      <c r="S10" s="5">
        <v>8.5</v>
      </c>
      <c r="T10" s="5">
        <v>8.3000000000000007</v>
      </c>
      <c r="U10" s="6">
        <v>23</v>
      </c>
      <c r="V10" s="6">
        <v>23</v>
      </c>
      <c r="W10" s="6">
        <v>100</v>
      </c>
      <c r="X10" s="6">
        <v>100</v>
      </c>
      <c r="Y10" s="6">
        <v>100</v>
      </c>
      <c r="Z10" s="6">
        <v>100</v>
      </c>
      <c r="AA10" s="6">
        <v>100</v>
      </c>
      <c r="AB10" s="6">
        <v>100</v>
      </c>
      <c r="AC10" s="6">
        <v>100</v>
      </c>
      <c r="AD10" s="6">
        <v>100</v>
      </c>
      <c r="AE10" s="6">
        <v>100</v>
      </c>
      <c r="AF10" s="6">
        <v>100</v>
      </c>
      <c r="AG10" s="6">
        <v>100</v>
      </c>
      <c r="AH10" s="6">
        <v>100</v>
      </c>
      <c r="AI10" s="6">
        <v>100</v>
      </c>
      <c r="AJ10" s="6">
        <v>100</v>
      </c>
      <c r="AK10" s="6">
        <v>100</v>
      </c>
      <c r="AL10" s="6">
        <v>100</v>
      </c>
      <c r="AM10" s="6">
        <v>1600</v>
      </c>
      <c r="AN10" s="6">
        <v>1</v>
      </c>
      <c r="AO10" s="6">
        <v>1</v>
      </c>
      <c r="AP10" s="6">
        <v>1</v>
      </c>
      <c r="AQ10" s="6">
        <v>1</v>
      </c>
      <c r="AR10" s="6">
        <v>1</v>
      </c>
      <c r="AS10" s="6">
        <v>1</v>
      </c>
      <c r="AT10" s="6">
        <v>1</v>
      </c>
      <c r="AU10" s="6">
        <v>1</v>
      </c>
      <c r="AV10" s="6">
        <v>1</v>
      </c>
      <c r="AW10" s="6">
        <v>1</v>
      </c>
      <c r="AX10" s="6">
        <v>1</v>
      </c>
      <c r="AY10" s="6">
        <v>1</v>
      </c>
      <c r="AZ10" s="6">
        <v>1</v>
      </c>
      <c r="BA10" s="6">
        <v>1</v>
      </c>
      <c r="BB10" s="6">
        <v>1</v>
      </c>
      <c r="BC10" s="6">
        <v>1</v>
      </c>
      <c r="BD10" s="6">
        <v>16</v>
      </c>
      <c r="BE10" s="6">
        <v>36</v>
      </c>
      <c r="BF10" s="6">
        <v>37</v>
      </c>
      <c r="BG10" s="5">
        <v>9.7899999999999991</v>
      </c>
      <c r="BH10" s="5">
        <v>6.8</v>
      </c>
      <c r="BI10" s="6">
        <v>27</v>
      </c>
      <c r="BJ10" s="6">
        <v>38</v>
      </c>
      <c r="BK10" s="6">
        <v>22</v>
      </c>
      <c r="BL10" s="6">
        <v>59</v>
      </c>
      <c r="BM10" s="6">
        <v>21</v>
      </c>
      <c r="BN10" s="6">
        <v>22</v>
      </c>
      <c r="BO10" s="6">
        <v>19</v>
      </c>
      <c r="BP10" s="6">
        <v>20</v>
      </c>
      <c r="BQ10" s="6">
        <v>12</v>
      </c>
      <c r="BR10" s="6">
        <v>0</v>
      </c>
      <c r="BS10" s="6">
        <v>0</v>
      </c>
      <c r="BT10" s="6">
        <v>7</v>
      </c>
      <c r="BU10" s="6">
        <v>270</v>
      </c>
      <c r="BV10" s="6">
        <v>7</v>
      </c>
      <c r="BW10" s="6">
        <v>300</v>
      </c>
      <c r="BX10" s="6">
        <v>7</v>
      </c>
      <c r="BY10" s="6">
        <v>60</v>
      </c>
      <c r="BZ10" s="6">
        <v>360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</row>
    <row r="11" spans="1:86" ht="18.75" customHeight="1">
      <c r="A11" s="1" t="s">
        <v>25</v>
      </c>
      <c r="B11" s="1" t="s">
        <v>79</v>
      </c>
      <c r="C11" s="6">
        <v>65</v>
      </c>
      <c r="D11" s="6">
        <v>174</v>
      </c>
      <c r="E11" s="6">
        <v>65</v>
      </c>
      <c r="F11" s="4" t="s">
        <v>85</v>
      </c>
      <c r="G11" s="1" t="s">
        <v>88</v>
      </c>
      <c r="H11" s="6">
        <v>94</v>
      </c>
      <c r="I11" s="6">
        <v>19</v>
      </c>
      <c r="J11" s="6">
        <v>19</v>
      </c>
      <c r="K11" s="5">
        <v>9.5</v>
      </c>
      <c r="L11" s="6">
        <v>9</v>
      </c>
      <c r="M11" s="5">
        <v>6.5</v>
      </c>
      <c r="N11" s="5">
        <v>6.5</v>
      </c>
      <c r="O11" s="6">
        <v>11</v>
      </c>
      <c r="P11" s="6">
        <v>11</v>
      </c>
      <c r="Q11" s="6">
        <v>8</v>
      </c>
      <c r="R11" s="5">
        <v>7.5</v>
      </c>
      <c r="S11" s="5">
        <v>9.5</v>
      </c>
      <c r="T11" s="5">
        <v>9.5</v>
      </c>
      <c r="U11" s="6">
        <v>25</v>
      </c>
      <c r="V11" s="6">
        <v>25</v>
      </c>
      <c r="W11" s="6">
        <v>100</v>
      </c>
      <c r="X11" s="6">
        <v>90</v>
      </c>
      <c r="Y11" s="6">
        <v>90</v>
      </c>
      <c r="Z11" s="6">
        <v>100</v>
      </c>
      <c r="AA11" s="6">
        <v>100</v>
      </c>
      <c r="AB11" s="6">
        <v>90</v>
      </c>
      <c r="AC11" s="6">
        <v>100</v>
      </c>
      <c r="AD11" s="6">
        <v>100</v>
      </c>
      <c r="AE11" s="6">
        <v>90</v>
      </c>
      <c r="AF11" s="6">
        <v>100</v>
      </c>
      <c r="AG11" s="6">
        <v>100</v>
      </c>
      <c r="AH11" s="6">
        <v>100</v>
      </c>
      <c r="AI11" s="6">
        <v>100</v>
      </c>
      <c r="AJ11" s="6">
        <v>100</v>
      </c>
      <c r="AK11" s="6">
        <v>90</v>
      </c>
      <c r="AL11" s="6">
        <v>90</v>
      </c>
      <c r="AM11" s="6">
        <v>1540</v>
      </c>
      <c r="AN11" s="6">
        <v>1</v>
      </c>
      <c r="AO11" s="6">
        <v>1</v>
      </c>
      <c r="AP11" s="6">
        <v>1</v>
      </c>
      <c r="AQ11" s="6">
        <v>1</v>
      </c>
      <c r="AR11" s="6">
        <v>1</v>
      </c>
      <c r="AS11" s="6">
        <v>1</v>
      </c>
      <c r="AT11" s="6">
        <v>1</v>
      </c>
      <c r="AU11" s="6">
        <v>1</v>
      </c>
      <c r="AV11" s="6">
        <v>1</v>
      </c>
      <c r="AW11" s="6">
        <v>1</v>
      </c>
      <c r="AX11" s="6">
        <v>2</v>
      </c>
      <c r="AY11" s="6">
        <v>1</v>
      </c>
      <c r="AZ11" s="6">
        <v>1</v>
      </c>
      <c r="BA11" s="6">
        <v>1</v>
      </c>
      <c r="BB11" s="6">
        <v>1</v>
      </c>
      <c r="BC11" s="6">
        <v>1</v>
      </c>
      <c r="BD11" s="6">
        <v>17</v>
      </c>
      <c r="BE11" s="6">
        <v>26</v>
      </c>
      <c r="BF11" s="6">
        <v>35</v>
      </c>
      <c r="BG11" s="5">
        <v>9.8000000000000007</v>
      </c>
      <c r="BH11" s="5">
        <v>7.71</v>
      </c>
      <c r="BI11" s="6">
        <v>25</v>
      </c>
      <c r="BJ11" s="6">
        <v>60</v>
      </c>
      <c r="BK11" s="6">
        <v>35</v>
      </c>
      <c r="BL11" s="6">
        <v>21</v>
      </c>
      <c r="BM11" s="6">
        <v>34</v>
      </c>
      <c r="BN11" s="6">
        <v>34</v>
      </c>
      <c r="BO11" s="6">
        <v>30</v>
      </c>
      <c r="BP11" s="6">
        <v>30</v>
      </c>
      <c r="BQ11" s="6">
        <v>14</v>
      </c>
      <c r="BR11" s="6">
        <v>0</v>
      </c>
      <c r="BS11" s="6">
        <v>0</v>
      </c>
      <c r="BT11" s="6">
        <v>0</v>
      </c>
      <c r="BU11" s="6">
        <v>0</v>
      </c>
      <c r="BV11" s="6">
        <v>2</v>
      </c>
      <c r="BW11" s="6">
        <v>30</v>
      </c>
      <c r="BX11" s="6">
        <v>3</v>
      </c>
      <c r="BY11" s="6">
        <v>40</v>
      </c>
      <c r="BZ11" s="6">
        <v>420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</row>
    <row r="12" spans="1:86" ht="18.75" customHeight="1">
      <c r="A12" s="1" t="s">
        <v>26</v>
      </c>
      <c r="B12" s="1" t="s">
        <v>79</v>
      </c>
      <c r="C12" s="6">
        <v>27</v>
      </c>
      <c r="D12" s="6">
        <v>177</v>
      </c>
      <c r="E12" s="6">
        <v>70</v>
      </c>
      <c r="F12" s="4" t="s">
        <v>85</v>
      </c>
      <c r="G12" s="1" t="s">
        <v>87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100</v>
      </c>
      <c r="X12" s="6">
        <v>100</v>
      </c>
      <c r="Y12" s="6">
        <v>100</v>
      </c>
      <c r="Z12" s="6">
        <v>100</v>
      </c>
      <c r="AA12" s="6">
        <v>100</v>
      </c>
      <c r="AB12" s="6">
        <v>100</v>
      </c>
      <c r="AC12" s="6">
        <v>100</v>
      </c>
      <c r="AD12" s="6">
        <v>100</v>
      </c>
      <c r="AE12" s="6">
        <v>100</v>
      </c>
      <c r="AF12" s="6">
        <v>100</v>
      </c>
      <c r="AG12" s="6">
        <v>100</v>
      </c>
      <c r="AH12" s="6">
        <v>100</v>
      </c>
      <c r="AI12" s="6">
        <v>100</v>
      </c>
      <c r="AJ12" s="6">
        <v>100</v>
      </c>
      <c r="AK12" s="6">
        <v>100</v>
      </c>
      <c r="AL12" s="6">
        <v>100</v>
      </c>
      <c r="AM12" s="6">
        <v>1600</v>
      </c>
      <c r="AN12" s="6">
        <v>1</v>
      </c>
      <c r="AO12" s="6">
        <v>1</v>
      </c>
      <c r="AP12" s="6">
        <v>1</v>
      </c>
      <c r="AQ12" s="6">
        <v>1</v>
      </c>
      <c r="AR12" s="6">
        <v>1</v>
      </c>
      <c r="AS12" s="6">
        <v>1</v>
      </c>
      <c r="AT12" s="6">
        <v>1</v>
      </c>
      <c r="AU12" s="6">
        <v>1</v>
      </c>
      <c r="AV12" s="6">
        <v>1</v>
      </c>
      <c r="AW12" s="6">
        <v>1</v>
      </c>
      <c r="AX12" s="6">
        <v>1</v>
      </c>
      <c r="AY12" s="6">
        <v>1</v>
      </c>
      <c r="AZ12" s="6">
        <v>1</v>
      </c>
      <c r="BA12" s="6">
        <v>1</v>
      </c>
      <c r="BB12" s="6">
        <v>1</v>
      </c>
      <c r="BC12" s="6">
        <v>1</v>
      </c>
      <c r="BD12" s="6">
        <v>16</v>
      </c>
      <c r="BE12" s="6">
        <v>0</v>
      </c>
      <c r="BF12" s="6">
        <v>0</v>
      </c>
      <c r="BG12" s="6">
        <v>0</v>
      </c>
      <c r="BH12" s="6">
        <v>0</v>
      </c>
      <c r="BI12" s="6">
        <v>60</v>
      </c>
      <c r="BJ12" s="6">
        <v>60</v>
      </c>
      <c r="BK12" s="6">
        <v>60</v>
      </c>
      <c r="BL12" s="6">
        <v>60</v>
      </c>
      <c r="BM12" s="6">
        <v>0</v>
      </c>
      <c r="BN12" s="6">
        <v>0</v>
      </c>
      <c r="BO12" s="6">
        <v>0</v>
      </c>
      <c r="BP12" s="6">
        <v>0</v>
      </c>
      <c r="BQ12" s="6">
        <v>20</v>
      </c>
      <c r="BR12" s="6">
        <v>30</v>
      </c>
      <c r="BS12" s="6">
        <v>0</v>
      </c>
      <c r="BT12" s="6">
        <v>4</v>
      </c>
      <c r="BU12" s="6">
        <v>120</v>
      </c>
      <c r="BV12" s="6">
        <v>0</v>
      </c>
      <c r="BW12" s="6">
        <v>0</v>
      </c>
      <c r="BX12" s="6">
        <v>7</v>
      </c>
      <c r="BY12" s="6">
        <v>30</v>
      </c>
      <c r="BZ12" s="6">
        <v>480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</row>
    <row r="13" spans="1:86" ht="18.75" customHeight="1">
      <c r="A13" s="1" t="s">
        <v>27</v>
      </c>
      <c r="B13" s="1" t="s">
        <v>78</v>
      </c>
      <c r="C13" s="6">
        <v>74</v>
      </c>
      <c r="D13" s="6">
        <v>149</v>
      </c>
      <c r="E13" s="6">
        <v>53</v>
      </c>
      <c r="F13" s="4" t="s">
        <v>85</v>
      </c>
      <c r="G13" s="1" t="s">
        <v>87</v>
      </c>
      <c r="H13" s="6">
        <v>67</v>
      </c>
      <c r="I13" s="6">
        <v>30</v>
      </c>
      <c r="J13" s="6">
        <v>30</v>
      </c>
      <c r="K13" s="6">
        <v>10</v>
      </c>
      <c r="L13" s="5">
        <v>9.5</v>
      </c>
      <c r="M13" s="6">
        <v>7</v>
      </c>
      <c r="N13" s="6">
        <v>6</v>
      </c>
      <c r="O13" s="6">
        <v>11</v>
      </c>
      <c r="P13" s="6">
        <v>11</v>
      </c>
      <c r="Q13" s="6">
        <v>7</v>
      </c>
      <c r="R13" s="5">
        <v>6.5</v>
      </c>
      <c r="S13" s="6">
        <v>10</v>
      </c>
      <c r="T13" s="6">
        <v>10</v>
      </c>
      <c r="U13" s="6">
        <v>235</v>
      </c>
      <c r="V13" s="6">
        <v>235</v>
      </c>
      <c r="W13" s="6">
        <v>100</v>
      </c>
      <c r="X13" s="6">
        <v>70</v>
      </c>
      <c r="Y13" s="6">
        <v>100</v>
      </c>
      <c r="Z13" s="6">
        <v>100</v>
      </c>
      <c r="AA13" s="6">
        <v>100</v>
      </c>
      <c r="AB13" s="6">
        <v>100</v>
      </c>
      <c r="AC13" s="6">
        <v>100</v>
      </c>
      <c r="AD13" s="6">
        <v>100</v>
      </c>
      <c r="AE13" s="6">
        <v>100</v>
      </c>
      <c r="AF13" s="6">
        <v>100</v>
      </c>
      <c r="AG13" s="6">
        <v>100</v>
      </c>
      <c r="AH13" s="6">
        <v>100</v>
      </c>
      <c r="AI13" s="6">
        <v>100</v>
      </c>
      <c r="AJ13" s="6">
        <v>100</v>
      </c>
      <c r="AK13" s="6">
        <v>100</v>
      </c>
      <c r="AL13" s="6">
        <v>50</v>
      </c>
      <c r="AM13" s="6">
        <v>1520</v>
      </c>
      <c r="AN13" s="6">
        <v>1</v>
      </c>
      <c r="AO13" s="6">
        <v>1</v>
      </c>
      <c r="AP13" s="6">
        <v>1</v>
      </c>
      <c r="AQ13" s="6">
        <v>1</v>
      </c>
      <c r="AR13" s="6">
        <v>1</v>
      </c>
      <c r="AS13" s="6">
        <v>1</v>
      </c>
      <c r="AT13" s="6">
        <v>2</v>
      </c>
      <c r="AU13" s="6">
        <v>1</v>
      </c>
      <c r="AV13" s="6">
        <v>2</v>
      </c>
      <c r="AW13" s="6">
        <v>1</v>
      </c>
      <c r="AX13" s="6">
        <v>2</v>
      </c>
      <c r="AY13" s="6">
        <v>1</v>
      </c>
      <c r="AZ13" s="6">
        <v>1</v>
      </c>
      <c r="BA13" s="6">
        <v>1</v>
      </c>
      <c r="BB13" s="6">
        <v>2</v>
      </c>
      <c r="BC13" s="6">
        <v>1</v>
      </c>
      <c r="BD13" s="6">
        <v>20</v>
      </c>
      <c r="BE13" s="6">
        <v>19</v>
      </c>
      <c r="BF13" s="6">
        <v>32</v>
      </c>
      <c r="BG13" s="5">
        <v>8.5500000000000007</v>
      </c>
      <c r="BH13" s="5">
        <v>6.93</v>
      </c>
      <c r="BI13" s="6">
        <v>4</v>
      </c>
      <c r="BJ13" s="6">
        <v>2</v>
      </c>
      <c r="BK13" s="6">
        <v>5</v>
      </c>
      <c r="BL13" s="6">
        <v>7</v>
      </c>
      <c r="BM13" s="6">
        <v>23</v>
      </c>
      <c r="BN13" s="6">
        <v>26</v>
      </c>
      <c r="BO13" s="6">
        <v>23</v>
      </c>
      <c r="BP13" s="6">
        <v>23</v>
      </c>
      <c r="BQ13" s="6">
        <v>20</v>
      </c>
      <c r="BR13" s="6">
        <v>8</v>
      </c>
      <c r="BS13" s="6">
        <v>0</v>
      </c>
      <c r="BT13" s="6">
        <v>0</v>
      </c>
      <c r="BU13" s="6">
        <v>0</v>
      </c>
      <c r="BV13" s="6">
        <v>1</v>
      </c>
      <c r="BW13" s="6">
        <v>60</v>
      </c>
      <c r="BX13" s="6">
        <v>7</v>
      </c>
      <c r="BY13" s="6">
        <v>120</v>
      </c>
      <c r="BZ13" s="6">
        <v>240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</row>
    <row r="14" spans="1:86" ht="18.75" customHeight="1">
      <c r="A14" s="1" t="s">
        <v>28</v>
      </c>
      <c r="B14" s="1" t="s">
        <v>78</v>
      </c>
      <c r="C14" s="6">
        <v>72</v>
      </c>
      <c r="D14" s="6">
        <v>158</v>
      </c>
      <c r="E14" s="6">
        <v>70</v>
      </c>
      <c r="F14" s="4" t="s">
        <v>85</v>
      </c>
      <c r="G14" s="1" t="s">
        <v>87</v>
      </c>
      <c r="H14" s="6">
        <v>80</v>
      </c>
      <c r="I14" s="6">
        <v>23</v>
      </c>
      <c r="J14" s="6">
        <v>23</v>
      </c>
      <c r="K14" s="5">
        <v>10.5</v>
      </c>
      <c r="L14" s="6">
        <v>11</v>
      </c>
      <c r="M14" s="5">
        <v>7.5</v>
      </c>
      <c r="N14" s="5">
        <v>7.5</v>
      </c>
      <c r="O14" s="6">
        <v>13</v>
      </c>
      <c r="P14" s="6">
        <v>13</v>
      </c>
      <c r="Q14" s="5">
        <v>7.5</v>
      </c>
      <c r="R14" s="5">
        <v>7.5</v>
      </c>
      <c r="S14" s="5">
        <v>9.5</v>
      </c>
      <c r="T14" s="5">
        <v>9.5</v>
      </c>
      <c r="U14" s="6">
        <v>240</v>
      </c>
      <c r="V14" s="6">
        <v>240</v>
      </c>
      <c r="W14" s="6">
        <v>100</v>
      </c>
      <c r="X14" s="6">
        <v>90</v>
      </c>
      <c r="Y14" s="6">
        <v>80</v>
      </c>
      <c r="Z14" s="6">
        <v>90</v>
      </c>
      <c r="AA14" s="6">
        <v>90</v>
      </c>
      <c r="AB14" s="6">
        <v>90</v>
      </c>
      <c r="AC14" s="6">
        <v>100</v>
      </c>
      <c r="AD14" s="6">
        <v>90</v>
      </c>
      <c r="AE14" s="6">
        <v>90</v>
      </c>
      <c r="AF14" s="6">
        <v>90</v>
      </c>
      <c r="AG14" s="6">
        <v>90</v>
      </c>
      <c r="AH14" s="6">
        <v>90</v>
      </c>
      <c r="AI14" s="6">
        <v>90</v>
      </c>
      <c r="AJ14" s="6">
        <v>90</v>
      </c>
      <c r="AK14" s="6">
        <v>90</v>
      </c>
      <c r="AL14" s="6">
        <v>80</v>
      </c>
      <c r="AM14" s="6">
        <v>1440</v>
      </c>
      <c r="AN14" s="6">
        <v>1</v>
      </c>
      <c r="AO14" s="6">
        <v>2</v>
      </c>
      <c r="AP14" s="6">
        <v>1</v>
      </c>
      <c r="AQ14" s="6">
        <v>1</v>
      </c>
      <c r="AR14" s="6">
        <v>1</v>
      </c>
      <c r="AS14" s="6">
        <v>2</v>
      </c>
      <c r="AT14" s="6">
        <v>2</v>
      </c>
      <c r="AU14" s="6">
        <v>1</v>
      </c>
      <c r="AV14" s="6">
        <v>2</v>
      </c>
      <c r="AW14" s="6">
        <v>1</v>
      </c>
      <c r="AX14" s="6">
        <v>2</v>
      </c>
      <c r="AY14" s="6">
        <v>1</v>
      </c>
      <c r="AZ14" s="6">
        <v>1</v>
      </c>
      <c r="BA14" s="6">
        <v>2</v>
      </c>
      <c r="BB14" s="6">
        <v>2</v>
      </c>
      <c r="BC14" s="6">
        <v>1</v>
      </c>
      <c r="BD14" s="6">
        <v>23</v>
      </c>
      <c r="BE14" s="6">
        <v>15</v>
      </c>
      <c r="BF14" s="6">
        <v>32</v>
      </c>
      <c r="BG14" s="5">
        <v>9.92</v>
      </c>
      <c r="BH14" s="5">
        <v>9.01</v>
      </c>
      <c r="BI14" s="6">
        <v>1</v>
      </c>
      <c r="BJ14" s="6">
        <v>1</v>
      </c>
      <c r="BK14" s="6">
        <v>1</v>
      </c>
      <c r="BL14" s="6">
        <v>2</v>
      </c>
      <c r="BM14" s="6">
        <v>24</v>
      </c>
      <c r="BN14" s="6">
        <v>21</v>
      </c>
      <c r="BO14" s="6">
        <v>22</v>
      </c>
      <c r="BP14" s="6">
        <v>16</v>
      </c>
      <c r="BQ14" s="6">
        <v>10</v>
      </c>
      <c r="BR14" s="5">
        <v>12.5</v>
      </c>
      <c r="BS14" s="6">
        <v>0</v>
      </c>
      <c r="BT14" s="6">
        <v>0</v>
      </c>
      <c r="BU14" s="6">
        <v>0</v>
      </c>
      <c r="BV14" s="6">
        <v>3</v>
      </c>
      <c r="BW14" s="6">
        <v>60</v>
      </c>
      <c r="BX14" s="6">
        <v>7</v>
      </c>
      <c r="BY14" s="6">
        <v>60</v>
      </c>
      <c r="BZ14" s="6">
        <v>120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</row>
    <row r="15" spans="1:86" ht="18.75" customHeight="1">
      <c r="A15" s="1" t="s">
        <v>29</v>
      </c>
      <c r="B15" s="1" t="s">
        <v>79</v>
      </c>
      <c r="C15" s="6">
        <v>74</v>
      </c>
      <c r="D15" s="6">
        <v>165</v>
      </c>
      <c r="E15" s="6">
        <v>67</v>
      </c>
      <c r="F15" s="4" t="s">
        <v>84</v>
      </c>
      <c r="G15" s="1" t="s">
        <v>87</v>
      </c>
      <c r="H15" s="6">
        <v>80</v>
      </c>
      <c r="I15" s="5">
        <v>34.5</v>
      </c>
      <c r="J15" s="5">
        <v>33.5</v>
      </c>
      <c r="K15" s="6">
        <v>9</v>
      </c>
      <c r="L15" s="6">
        <v>9</v>
      </c>
      <c r="M15" s="5">
        <v>6.5</v>
      </c>
      <c r="N15" s="5">
        <v>6.5</v>
      </c>
      <c r="O15" s="5">
        <v>10.5</v>
      </c>
      <c r="P15" s="5">
        <v>10.5</v>
      </c>
      <c r="Q15" s="6">
        <v>7</v>
      </c>
      <c r="R15" s="6">
        <v>7</v>
      </c>
      <c r="S15" s="6">
        <v>9</v>
      </c>
      <c r="T15" s="6">
        <v>9</v>
      </c>
      <c r="U15" s="6">
        <v>265</v>
      </c>
      <c r="V15" s="6">
        <v>265</v>
      </c>
      <c r="W15" s="6">
        <v>100</v>
      </c>
      <c r="X15" s="6">
        <v>100</v>
      </c>
      <c r="Y15" s="6">
        <v>100</v>
      </c>
      <c r="Z15" s="6">
        <v>100</v>
      </c>
      <c r="AA15" s="6">
        <v>100</v>
      </c>
      <c r="AB15" s="6">
        <v>100</v>
      </c>
      <c r="AC15" s="6">
        <v>100</v>
      </c>
      <c r="AD15" s="6">
        <v>100</v>
      </c>
      <c r="AE15" s="6">
        <v>100</v>
      </c>
      <c r="AF15" s="6">
        <v>100</v>
      </c>
      <c r="AG15" s="6">
        <v>100</v>
      </c>
      <c r="AH15" s="6">
        <v>100</v>
      </c>
      <c r="AI15" s="6">
        <v>100</v>
      </c>
      <c r="AJ15" s="6">
        <v>100</v>
      </c>
      <c r="AK15" s="6">
        <v>100</v>
      </c>
      <c r="AL15" s="6">
        <v>100</v>
      </c>
      <c r="AM15" s="6">
        <v>1600</v>
      </c>
      <c r="AN15" s="6">
        <v>1</v>
      </c>
      <c r="AO15" s="6">
        <v>1</v>
      </c>
      <c r="AP15" s="6">
        <v>1</v>
      </c>
      <c r="AQ15" s="6">
        <v>1</v>
      </c>
      <c r="AR15" s="6">
        <v>1</v>
      </c>
      <c r="AS15" s="6">
        <v>1</v>
      </c>
      <c r="AT15" s="6">
        <v>1</v>
      </c>
      <c r="AU15" s="6">
        <v>1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16</v>
      </c>
      <c r="BE15" s="6">
        <v>25</v>
      </c>
      <c r="BF15" s="6">
        <v>33</v>
      </c>
      <c r="BG15" s="5">
        <v>8.83</v>
      </c>
      <c r="BH15" s="5">
        <v>6.27</v>
      </c>
      <c r="BI15" s="6">
        <v>60</v>
      </c>
      <c r="BJ15" s="6">
        <v>60</v>
      </c>
      <c r="BK15" s="6">
        <v>33</v>
      </c>
      <c r="BL15" s="6">
        <v>60</v>
      </c>
      <c r="BM15" s="6">
        <v>26</v>
      </c>
      <c r="BN15" s="6">
        <v>27</v>
      </c>
      <c r="BO15" s="5">
        <v>30.5</v>
      </c>
      <c r="BP15" s="6">
        <v>28</v>
      </c>
      <c r="BQ15" s="6">
        <v>15</v>
      </c>
      <c r="BR15" s="6">
        <v>4</v>
      </c>
      <c r="BS15" s="6">
        <v>0</v>
      </c>
      <c r="BT15" s="6">
        <v>0</v>
      </c>
      <c r="BU15" s="6">
        <v>0</v>
      </c>
      <c r="BV15" s="6">
        <v>7</v>
      </c>
      <c r="BW15" s="6">
        <v>60</v>
      </c>
      <c r="BX15" s="6">
        <v>7</v>
      </c>
      <c r="BY15" s="6">
        <v>40</v>
      </c>
      <c r="BZ15" s="6">
        <v>180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</row>
    <row r="16" spans="1:86" ht="18.75" customHeight="1">
      <c r="A16" s="1" t="s">
        <v>74</v>
      </c>
      <c r="B16" s="1" t="s">
        <v>78</v>
      </c>
      <c r="C16" s="6">
        <v>72</v>
      </c>
      <c r="D16" s="6">
        <v>148</v>
      </c>
      <c r="E16" s="6">
        <v>55</v>
      </c>
      <c r="F16" s="4" t="s">
        <v>85</v>
      </c>
      <c r="G16" s="1" t="s">
        <v>87</v>
      </c>
      <c r="H16" s="6">
        <v>75</v>
      </c>
      <c r="I16" s="6">
        <v>34</v>
      </c>
      <c r="J16" s="6">
        <v>34</v>
      </c>
      <c r="K16" s="6">
        <v>9</v>
      </c>
      <c r="L16" s="6">
        <v>9</v>
      </c>
      <c r="M16" s="6">
        <v>6</v>
      </c>
      <c r="N16" s="6">
        <v>6</v>
      </c>
      <c r="O16" s="6">
        <v>11</v>
      </c>
      <c r="P16" s="6">
        <v>11</v>
      </c>
      <c r="Q16" s="5">
        <v>7.5</v>
      </c>
      <c r="R16" s="5">
        <v>7.5</v>
      </c>
      <c r="S16" s="6">
        <v>9</v>
      </c>
      <c r="T16" s="6">
        <v>9</v>
      </c>
      <c r="U16" s="6">
        <v>230</v>
      </c>
      <c r="V16" s="6">
        <v>230</v>
      </c>
      <c r="W16" s="6">
        <v>100</v>
      </c>
      <c r="X16" s="6">
        <v>100</v>
      </c>
      <c r="Y16" s="6">
        <v>100</v>
      </c>
      <c r="Z16" s="6">
        <v>100</v>
      </c>
      <c r="AA16" s="6">
        <v>100</v>
      </c>
      <c r="AB16" s="6">
        <v>100</v>
      </c>
      <c r="AC16" s="6">
        <v>100</v>
      </c>
      <c r="AD16" s="6">
        <v>100</v>
      </c>
      <c r="AE16" s="6">
        <v>100</v>
      </c>
      <c r="AF16" s="6">
        <v>100</v>
      </c>
      <c r="AG16" s="6">
        <v>80</v>
      </c>
      <c r="AH16" s="6">
        <v>100</v>
      </c>
      <c r="AI16" s="6">
        <v>100</v>
      </c>
      <c r="AJ16" s="6">
        <v>80</v>
      </c>
      <c r="AK16" s="6">
        <v>80</v>
      </c>
      <c r="AL16" s="6">
        <v>80</v>
      </c>
      <c r="AM16" s="6">
        <v>1520</v>
      </c>
      <c r="AN16" s="6">
        <v>1</v>
      </c>
      <c r="AO16" s="6">
        <v>1</v>
      </c>
      <c r="AP16" s="6">
        <v>1</v>
      </c>
      <c r="AQ16" s="6">
        <v>1</v>
      </c>
      <c r="AR16" s="6">
        <v>1</v>
      </c>
      <c r="AS16" s="6">
        <v>1</v>
      </c>
      <c r="AT16" s="6">
        <v>1</v>
      </c>
      <c r="AU16" s="6">
        <v>1</v>
      </c>
      <c r="AV16" s="6">
        <v>1</v>
      </c>
      <c r="AW16" s="6">
        <v>1</v>
      </c>
      <c r="AX16" s="6">
        <v>1</v>
      </c>
      <c r="AY16" s="6">
        <v>1</v>
      </c>
      <c r="AZ16" s="6">
        <v>1</v>
      </c>
      <c r="BA16" s="6">
        <v>1</v>
      </c>
      <c r="BB16" s="6">
        <v>1</v>
      </c>
      <c r="BC16" s="6">
        <v>1</v>
      </c>
      <c r="BD16" s="6">
        <v>16</v>
      </c>
      <c r="BE16" s="6">
        <v>25</v>
      </c>
      <c r="BF16" s="6">
        <v>15</v>
      </c>
      <c r="BG16" s="5">
        <v>7.1</v>
      </c>
      <c r="BH16" s="5">
        <v>6.2</v>
      </c>
      <c r="BI16" s="6">
        <v>3</v>
      </c>
      <c r="BJ16" s="6">
        <v>4</v>
      </c>
      <c r="BK16" s="6">
        <v>7</v>
      </c>
      <c r="BL16" s="6">
        <v>7</v>
      </c>
      <c r="BM16" s="6">
        <v>26</v>
      </c>
      <c r="BN16" s="6">
        <v>27</v>
      </c>
      <c r="BO16" s="6">
        <v>17</v>
      </c>
      <c r="BP16" s="6">
        <v>21</v>
      </c>
      <c r="BQ16" s="6">
        <v>11</v>
      </c>
      <c r="BR16" s="5">
        <v>12.5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240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6">
        <v>0</v>
      </c>
    </row>
    <row r="17" spans="1:86" ht="18.75" customHeight="1">
      <c r="A17" s="1" t="s">
        <v>75</v>
      </c>
      <c r="B17" s="1" t="s">
        <v>79</v>
      </c>
      <c r="C17" s="6">
        <v>80</v>
      </c>
      <c r="D17" s="6">
        <v>153</v>
      </c>
      <c r="E17" s="6">
        <v>60</v>
      </c>
      <c r="F17" s="4" t="s">
        <v>85</v>
      </c>
      <c r="G17" s="1" t="s">
        <v>87</v>
      </c>
      <c r="H17" s="6">
        <v>80</v>
      </c>
      <c r="I17" s="6">
        <v>33</v>
      </c>
      <c r="J17" s="6">
        <v>33</v>
      </c>
      <c r="K17" s="6">
        <v>9</v>
      </c>
      <c r="L17" s="6">
        <v>9</v>
      </c>
      <c r="M17" s="5">
        <v>6.5</v>
      </c>
      <c r="N17" s="5">
        <v>6.5</v>
      </c>
      <c r="O17" s="6">
        <v>10</v>
      </c>
      <c r="P17" s="6">
        <v>10</v>
      </c>
      <c r="Q17" s="6">
        <v>8</v>
      </c>
      <c r="R17" s="6">
        <v>8</v>
      </c>
      <c r="S17" s="5">
        <v>9.5</v>
      </c>
      <c r="T17" s="5">
        <v>9.5</v>
      </c>
      <c r="U17" s="6">
        <v>240</v>
      </c>
      <c r="V17" s="6">
        <v>240</v>
      </c>
      <c r="W17" s="6">
        <v>100</v>
      </c>
      <c r="X17" s="6">
        <v>100</v>
      </c>
      <c r="Y17" s="6">
        <v>100</v>
      </c>
      <c r="Z17" s="6">
        <v>100</v>
      </c>
      <c r="AA17" s="6">
        <v>100</v>
      </c>
      <c r="AB17" s="6">
        <v>100</v>
      </c>
      <c r="AC17" s="6">
        <v>100</v>
      </c>
      <c r="AD17" s="6">
        <v>100</v>
      </c>
      <c r="AE17" s="6">
        <v>100</v>
      </c>
      <c r="AF17" s="6">
        <v>100</v>
      </c>
      <c r="AG17" s="6">
        <v>100</v>
      </c>
      <c r="AH17" s="6">
        <v>100</v>
      </c>
      <c r="AI17" s="6">
        <v>100</v>
      </c>
      <c r="AJ17" s="6">
        <v>100</v>
      </c>
      <c r="AK17" s="6">
        <v>100</v>
      </c>
      <c r="AL17" s="6">
        <v>90</v>
      </c>
      <c r="AM17" s="6">
        <v>1590</v>
      </c>
      <c r="AN17" s="6">
        <v>1</v>
      </c>
      <c r="AO17" s="6">
        <v>1</v>
      </c>
      <c r="AP17" s="6">
        <v>1</v>
      </c>
      <c r="AQ17" s="6">
        <v>1</v>
      </c>
      <c r="AR17" s="6">
        <v>1</v>
      </c>
      <c r="AS17" s="6">
        <v>1</v>
      </c>
      <c r="AT17" s="6">
        <v>1</v>
      </c>
      <c r="AU17" s="6">
        <v>1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16</v>
      </c>
      <c r="BE17" s="6">
        <v>25</v>
      </c>
      <c r="BF17" s="6">
        <v>25</v>
      </c>
      <c r="BG17" s="5">
        <v>8.5</v>
      </c>
      <c r="BH17" s="5">
        <v>6.6</v>
      </c>
      <c r="BI17" s="6">
        <v>2</v>
      </c>
      <c r="BJ17" s="6">
        <v>2</v>
      </c>
      <c r="BK17" s="6">
        <v>5</v>
      </c>
      <c r="BL17" s="6">
        <v>8</v>
      </c>
      <c r="BM17" s="6">
        <v>30</v>
      </c>
      <c r="BN17" s="6">
        <v>29</v>
      </c>
      <c r="BO17" s="6">
        <v>28</v>
      </c>
      <c r="BP17" s="6">
        <v>28</v>
      </c>
      <c r="BQ17" s="6">
        <v>10</v>
      </c>
      <c r="BR17" s="6">
        <v>-8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120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6">
        <v>0</v>
      </c>
    </row>
    <row r="18" spans="1:86" ht="18.75" customHeight="1">
      <c r="A18" s="1" t="s">
        <v>30</v>
      </c>
      <c r="B18" s="1" t="s">
        <v>79</v>
      </c>
      <c r="C18" s="6">
        <v>27</v>
      </c>
      <c r="D18" s="6">
        <v>0</v>
      </c>
      <c r="E18" s="6">
        <v>0</v>
      </c>
      <c r="F18" s="4" t="s">
        <v>85</v>
      </c>
      <c r="G18" s="1" t="s">
        <v>87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100</v>
      </c>
      <c r="X18" s="6">
        <v>100</v>
      </c>
      <c r="Y18" s="6">
        <v>100</v>
      </c>
      <c r="Z18" s="6">
        <v>100</v>
      </c>
      <c r="AA18" s="6">
        <v>100</v>
      </c>
      <c r="AB18" s="6">
        <v>100</v>
      </c>
      <c r="AC18" s="6">
        <v>100</v>
      </c>
      <c r="AD18" s="6">
        <v>100</v>
      </c>
      <c r="AE18" s="6">
        <v>100</v>
      </c>
      <c r="AF18" s="6">
        <v>100</v>
      </c>
      <c r="AG18" s="6">
        <v>100</v>
      </c>
      <c r="AH18" s="6">
        <v>100</v>
      </c>
      <c r="AI18" s="6">
        <v>100</v>
      </c>
      <c r="AJ18" s="6">
        <v>100</v>
      </c>
      <c r="AK18" s="6">
        <v>100</v>
      </c>
      <c r="AL18" s="6">
        <v>100</v>
      </c>
      <c r="AM18" s="6">
        <v>1600</v>
      </c>
      <c r="AN18" s="6">
        <v>1</v>
      </c>
      <c r="AO18" s="6">
        <v>1</v>
      </c>
      <c r="AP18" s="6">
        <v>1</v>
      </c>
      <c r="AQ18" s="6">
        <v>1</v>
      </c>
      <c r="AR18" s="6">
        <v>1</v>
      </c>
      <c r="AS18" s="6">
        <v>1</v>
      </c>
      <c r="AT18" s="6">
        <v>1</v>
      </c>
      <c r="AU18" s="6">
        <v>1</v>
      </c>
      <c r="AV18" s="6">
        <v>1</v>
      </c>
      <c r="AW18" s="6">
        <v>1</v>
      </c>
      <c r="AX18" s="6">
        <v>1</v>
      </c>
      <c r="AY18" s="6">
        <v>1</v>
      </c>
      <c r="AZ18" s="6">
        <v>1</v>
      </c>
      <c r="BA18" s="6">
        <v>1</v>
      </c>
      <c r="BB18" s="6">
        <v>1</v>
      </c>
      <c r="BC18" s="6">
        <v>1</v>
      </c>
      <c r="BD18" s="6">
        <v>16</v>
      </c>
      <c r="BE18" s="6">
        <v>0</v>
      </c>
      <c r="BF18" s="6">
        <v>0</v>
      </c>
      <c r="BG18" s="6">
        <v>0</v>
      </c>
      <c r="BH18" s="6">
        <v>0</v>
      </c>
      <c r="BI18" s="6">
        <v>60</v>
      </c>
      <c r="BJ18" s="6">
        <v>60</v>
      </c>
      <c r="BK18" s="6">
        <v>60</v>
      </c>
      <c r="BL18" s="6">
        <v>60</v>
      </c>
      <c r="BM18" s="6">
        <v>42</v>
      </c>
      <c r="BN18" s="6">
        <v>42</v>
      </c>
      <c r="BO18" s="6">
        <v>35</v>
      </c>
      <c r="BP18" s="6">
        <v>45</v>
      </c>
      <c r="BQ18" s="6">
        <v>20</v>
      </c>
      <c r="BR18" s="6">
        <v>10</v>
      </c>
      <c r="BS18" s="6">
        <v>0</v>
      </c>
      <c r="BT18" s="6">
        <v>3</v>
      </c>
      <c r="BU18" s="6">
        <v>30</v>
      </c>
      <c r="BV18" s="6">
        <v>3</v>
      </c>
      <c r="BW18" s="6">
        <v>30</v>
      </c>
      <c r="BX18" s="6">
        <v>6</v>
      </c>
      <c r="BY18" s="6">
        <v>30</v>
      </c>
      <c r="BZ18" s="6">
        <v>360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6">
        <v>0</v>
      </c>
      <c r="CG18" s="6">
        <v>0</v>
      </c>
      <c r="CH18" s="6">
        <v>0</v>
      </c>
    </row>
    <row r="19" spans="1:86" ht="18.75" customHeight="1">
      <c r="A19" s="1" t="s">
        <v>33</v>
      </c>
      <c r="B19" s="1" t="s">
        <v>79</v>
      </c>
      <c r="C19" s="6">
        <v>82</v>
      </c>
      <c r="D19" s="6">
        <v>168</v>
      </c>
      <c r="E19" s="6">
        <v>67</v>
      </c>
      <c r="F19" s="4" t="s">
        <v>84</v>
      </c>
      <c r="G19" s="1" t="s">
        <v>87</v>
      </c>
      <c r="H19" s="6">
        <v>89</v>
      </c>
      <c r="I19" s="6">
        <v>27</v>
      </c>
      <c r="J19" s="6">
        <v>27</v>
      </c>
      <c r="K19" s="5">
        <v>8.5</v>
      </c>
      <c r="L19" s="5">
        <v>8.5</v>
      </c>
      <c r="M19" s="6">
        <v>6</v>
      </c>
      <c r="N19" s="6">
        <v>6</v>
      </c>
      <c r="O19" s="5">
        <v>10.5</v>
      </c>
      <c r="P19" s="5">
        <v>10.5</v>
      </c>
      <c r="Q19" s="6">
        <v>6</v>
      </c>
      <c r="R19" s="6">
        <v>6</v>
      </c>
      <c r="S19" s="6">
        <v>9</v>
      </c>
      <c r="T19" s="6">
        <v>9</v>
      </c>
      <c r="U19" s="6">
        <v>250</v>
      </c>
      <c r="V19" s="6">
        <v>250</v>
      </c>
      <c r="W19" s="6">
        <v>100</v>
      </c>
      <c r="X19" s="6">
        <v>100</v>
      </c>
      <c r="Y19" s="6">
        <v>100</v>
      </c>
      <c r="Z19" s="6">
        <v>100</v>
      </c>
      <c r="AA19" s="6">
        <v>100</v>
      </c>
      <c r="AB19" s="6">
        <v>100</v>
      </c>
      <c r="AC19" s="6">
        <v>100</v>
      </c>
      <c r="AD19" s="6">
        <v>100</v>
      </c>
      <c r="AE19" s="6">
        <v>100</v>
      </c>
      <c r="AF19" s="6">
        <v>100</v>
      </c>
      <c r="AG19" s="6">
        <v>80</v>
      </c>
      <c r="AH19" s="6">
        <v>100</v>
      </c>
      <c r="AI19" s="6">
        <v>100</v>
      </c>
      <c r="AJ19" s="6">
        <v>100</v>
      </c>
      <c r="AK19" s="6">
        <v>100</v>
      </c>
      <c r="AL19" s="6">
        <v>100</v>
      </c>
      <c r="AM19" s="6">
        <v>1580</v>
      </c>
      <c r="AN19" s="6">
        <v>2</v>
      </c>
      <c r="AO19" s="6">
        <v>1</v>
      </c>
      <c r="AP19" s="6">
        <v>1</v>
      </c>
      <c r="AQ19" s="6">
        <v>1</v>
      </c>
      <c r="AR19" s="6">
        <v>1</v>
      </c>
      <c r="AS19" s="6">
        <v>1</v>
      </c>
      <c r="AT19" s="6">
        <v>1</v>
      </c>
      <c r="AU19" s="6">
        <v>1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17</v>
      </c>
      <c r="BE19" s="6">
        <v>21</v>
      </c>
      <c r="BF19" s="6">
        <v>33</v>
      </c>
      <c r="BG19" s="5">
        <v>9.6999999999999993</v>
      </c>
      <c r="BH19" s="5">
        <v>6.7</v>
      </c>
      <c r="BI19" s="6">
        <v>4</v>
      </c>
      <c r="BJ19" s="6">
        <v>3</v>
      </c>
      <c r="BK19" s="6">
        <v>4</v>
      </c>
      <c r="BL19" s="6">
        <v>7</v>
      </c>
      <c r="BM19" s="6">
        <v>34</v>
      </c>
      <c r="BN19" s="6">
        <v>39</v>
      </c>
      <c r="BO19" s="6">
        <v>30</v>
      </c>
      <c r="BP19" s="6">
        <v>32</v>
      </c>
      <c r="BQ19" s="6">
        <v>8</v>
      </c>
      <c r="BR19" s="6">
        <v>-26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7</v>
      </c>
      <c r="BY19" s="6">
        <v>60</v>
      </c>
      <c r="BZ19" s="6">
        <v>180</v>
      </c>
      <c r="CA19" s="6">
        <v>0</v>
      </c>
      <c r="CB19" s="6">
        <v>0</v>
      </c>
      <c r="CC19" s="6">
        <v>0</v>
      </c>
      <c r="CD19" s="6">
        <v>0</v>
      </c>
      <c r="CE19" s="6">
        <v>0</v>
      </c>
      <c r="CF19" s="6">
        <v>0</v>
      </c>
      <c r="CG19" s="6">
        <v>0</v>
      </c>
      <c r="CH19" s="6">
        <v>0</v>
      </c>
    </row>
    <row r="20" spans="1:86" ht="18.75" customHeight="1">
      <c r="A20" s="1" t="s">
        <v>32</v>
      </c>
      <c r="B20" s="1" t="s">
        <v>78</v>
      </c>
      <c r="C20" s="6">
        <v>80</v>
      </c>
      <c r="D20" s="6">
        <v>153</v>
      </c>
      <c r="E20" s="6">
        <v>56</v>
      </c>
      <c r="F20" s="4" t="s">
        <v>85</v>
      </c>
      <c r="G20" s="1" t="s">
        <v>87</v>
      </c>
      <c r="H20" s="6">
        <v>74</v>
      </c>
      <c r="I20" s="6">
        <v>34</v>
      </c>
      <c r="J20" s="6">
        <v>33</v>
      </c>
      <c r="K20" s="5">
        <v>8.5</v>
      </c>
      <c r="L20" s="5">
        <v>8.5</v>
      </c>
      <c r="M20" s="6">
        <v>6</v>
      </c>
      <c r="N20" s="5">
        <v>5.5</v>
      </c>
      <c r="O20" s="6">
        <v>10</v>
      </c>
      <c r="P20" s="6">
        <v>10</v>
      </c>
      <c r="Q20" s="5">
        <v>6.5</v>
      </c>
      <c r="R20" s="5">
        <v>6.5</v>
      </c>
      <c r="S20" s="6">
        <v>8</v>
      </c>
      <c r="T20" s="5">
        <v>8.5</v>
      </c>
      <c r="U20" s="6">
        <v>235</v>
      </c>
      <c r="V20" s="6">
        <v>235</v>
      </c>
      <c r="W20" s="6">
        <v>70</v>
      </c>
      <c r="X20" s="6">
        <v>20</v>
      </c>
      <c r="Y20" s="6">
        <v>50</v>
      </c>
      <c r="Z20" s="6">
        <v>20</v>
      </c>
      <c r="AA20" s="6">
        <v>20</v>
      </c>
      <c r="AB20" s="6">
        <v>20</v>
      </c>
      <c r="AC20" s="6">
        <v>20</v>
      </c>
      <c r="AD20" s="6">
        <v>20</v>
      </c>
      <c r="AE20" s="6">
        <v>80</v>
      </c>
      <c r="AF20" s="6">
        <v>80</v>
      </c>
      <c r="AG20" s="6">
        <v>50</v>
      </c>
      <c r="AH20" s="6">
        <v>50</v>
      </c>
      <c r="AI20" s="6">
        <v>50</v>
      </c>
      <c r="AJ20" s="6">
        <v>80</v>
      </c>
      <c r="AK20" s="6">
        <v>20</v>
      </c>
      <c r="AL20" s="6">
        <v>20</v>
      </c>
      <c r="AM20" s="6">
        <v>670</v>
      </c>
      <c r="AN20" s="6">
        <v>2</v>
      </c>
      <c r="AO20" s="6">
        <v>1</v>
      </c>
      <c r="AP20" s="6">
        <v>1</v>
      </c>
      <c r="AQ20" s="6">
        <v>1</v>
      </c>
      <c r="AR20" s="6">
        <v>2</v>
      </c>
      <c r="AS20" s="6">
        <v>3</v>
      </c>
      <c r="AT20" s="6">
        <v>3</v>
      </c>
      <c r="AU20" s="6">
        <v>2</v>
      </c>
      <c r="AV20" s="6">
        <v>2</v>
      </c>
      <c r="AW20" s="6">
        <v>2</v>
      </c>
      <c r="AX20" s="6">
        <v>4</v>
      </c>
      <c r="AY20" s="6">
        <v>2</v>
      </c>
      <c r="AZ20" s="6">
        <v>2</v>
      </c>
      <c r="BA20" s="6">
        <v>2</v>
      </c>
      <c r="BB20" s="6">
        <v>3</v>
      </c>
      <c r="BC20" s="6">
        <v>2</v>
      </c>
      <c r="BD20" s="6">
        <v>34</v>
      </c>
      <c r="BE20" s="6">
        <v>17</v>
      </c>
      <c r="BF20" s="6">
        <v>35</v>
      </c>
      <c r="BG20" s="5">
        <v>10.9</v>
      </c>
      <c r="BH20" s="5">
        <v>7.4</v>
      </c>
      <c r="BI20" s="6">
        <v>4</v>
      </c>
      <c r="BJ20" s="6">
        <v>6</v>
      </c>
      <c r="BK20" s="6">
        <v>6</v>
      </c>
      <c r="BL20" s="6">
        <v>12</v>
      </c>
      <c r="BM20" s="6">
        <v>20</v>
      </c>
      <c r="BN20" s="6">
        <v>18</v>
      </c>
      <c r="BO20" s="6">
        <v>15</v>
      </c>
      <c r="BP20" s="6">
        <v>18</v>
      </c>
      <c r="BQ20" s="6">
        <v>11</v>
      </c>
      <c r="BR20" s="6">
        <v>6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5</v>
      </c>
      <c r="BY20" s="6">
        <v>60</v>
      </c>
      <c r="BZ20" s="6">
        <v>240</v>
      </c>
      <c r="CA20" s="6">
        <v>0</v>
      </c>
      <c r="CB20" s="6">
        <v>1</v>
      </c>
      <c r="CC20" s="6">
        <v>0</v>
      </c>
      <c r="CD20" s="6">
        <v>1</v>
      </c>
      <c r="CE20" s="6">
        <v>1</v>
      </c>
      <c r="CF20" s="6">
        <v>1</v>
      </c>
      <c r="CG20" s="6">
        <v>0</v>
      </c>
      <c r="CH20" s="6">
        <v>1</v>
      </c>
    </row>
    <row r="21" spans="1:86" ht="18.75" customHeight="1">
      <c r="A21" s="1" t="s">
        <v>31</v>
      </c>
      <c r="B21" s="1" t="s">
        <v>78</v>
      </c>
      <c r="C21" s="6">
        <v>71</v>
      </c>
      <c r="D21" s="6">
        <v>149</v>
      </c>
      <c r="E21" s="6">
        <v>62</v>
      </c>
      <c r="F21" s="4" t="s">
        <v>84</v>
      </c>
      <c r="G21" s="1" t="s">
        <v>87</v>
      </c>
      <c r="H21" s="6">
        <v>76</v>
      </c>
      <c r="I21" s="6">
        <v>37</v>
      </c>
      <c r="J21" s="6">
        <v>35</v>
      </c>
      <c r="K21" s="6">
        <v>9</v>
      </c>
      <c r="L21" s="6">
        <v>9</v>
      </c>
      <c r="M21" s="6">
        <v>6</v>
      </c>
      <c r="N21" s="6">
        <v>6</v>
      </c>
      <c r="O21" s="6">
        <v>6</v>
      </c>
      <c r="P21" s="6">
        <v>6</v>
      </c>
      <c r="Q21" s="5">
        <v>7.5</v>
      </c>
      <c r="R21" s="5">
        <v>7.5</v>
      </c>
      <c r="S21" s="6">
        <v>8</v>
      </c>
      <c r="T21" s="6">
        <v>8</v>
      </c>
      <c r="U21" s="6">
        <v>230</v>
      </c>
      <c r="V21" s="6">
        <v>230</v>
      </c>
      <c r="W21" s="6">
        <v>40</v>
      </c>
      <c r="X21" s="6">
        <v>50</v>
      </c>
      <c r="Y21" s="6">
        <v>60</v>
      </c>
      <c r="Z21" s="6">
        <v>30</v>
      </c>
      <c r="AA21" s="6">
        <v>30</v>
      </c>
      <c r="AB21" s="6">
        <v>30</v>
      </c>
      <c r="AC21" s="6">
        <v>30</v>
      </c>
      <c r="AD21" s="6">
        <v>50</v>
      </c>
      <c r="AE21" s="6">
        <v>50</v>
      </c>
      <c r="AF21" s="6">
        <v>40</v>
      </c>
      <c r="AG21" s="6">
        <v>30</v>
      </c>
      <c r="AH21" s="6">
        <v>50</v>
      </c>
      <c r="AI21" s="6">
        <v>50</v>
      </c>
      <c r="AJ21" s="6">
        <v>50</v>
      </c>
      <c r="AK21" s="6">
        <v>50</v>
      </c>
      <c r="AL21" s="6">
        <v>10</v>
      </c>
      <c r="AM21" s="6">
        <v>650</v>
      </c>
      <c r="AN21" s="6">
        <v>3</v>
      </c>
      <c r="AO21" s="6">
        <v>3</v>
      </c>
      <c r="AP21" s="6">
        <v>3</v>
      </c>
      <c r="AQ21" s="6">
        <v>3</v>
      </c>
      <c r="AR21" s="6">
        <v>3</v>
      </c>
      <c r="AS21" s="6">
        <v>2</v>
      </c>
      <c r="AT21" s="6">
        <v>2</v>
      </c>
      <c r="AU21" s="6">
        <v>2</v>
      </c>
      <c r="AV21" s="6">
        <v>2</v>
      </c>
      <c r="AW21" s="6">
        <v>2</v>
      </c>
      <c r="AX21" s="6">
        <v>4</v>
      </c>
      <c r="AY21" s="6">
        <v>2</v>
      </c>
      <c r="AZ21" s="6">
        <v>2</v>
      </c>
      <c r="BA21" s="6">
        <v>2</v>
      </c>
      <c r="BB21" s="6">
        <v>2</v>
      </c>
      <c r="BC21" s="6">
        <v>2</v>
      </c>
      <c r="BD21" s="6">
        <v>39</v>
      </c>
      <c r="BE21" s="6">
        <v>11</v>
      </c>
      <c r="BF21" s="6">
        <v>28</v>
      </c>
      <c r="BG21" s="5">
        <v>11.3</v>
      </c>
      <c r="BH21" s="5">
        <v>9.5</v>
      </c>
      <c r="BI21" s="6">
        <v>15</v>
      </c>
      <c r="BJ21" s="6">
        <v>21</v>
      </c>
      <c r="BK21" s="6">
        <v>2</v>
      </c>
      <c r="BL21" s="6">
        <v>3</v>
      </c>
      <c r="BM21" s="6">
        <v>20</v>
      </c>
      <c r="BN21" s="5">
        <v>19.5</v>
      </c>
      <c r="BO21" s="6">
        <v>12</v>
      </c>
      <c r="BP21" s="6">
        <v>12</v>
      </c>
      <c r="BQ21" s="6">
        <v>8</v>
      </c>
      <c r="BR21" s="6">
        <v>3</v>
      </c>
      <c r="BS21" s="6">
        <v>0</v>
      </c>
      <c r="BT21" s="6">
        <v>0</v>
      </c>
      <c r="BU21" s="6">
        <v>0</v>
      </c>
      <c r="BV21" s="6">
        <v>2</v>
      </c>
      <c r="BW21" s="6">
        <v>60</v>
      </c>
      <c r="BX21" s="6">
        <v>7</v>
      </c>
      <c r="BY21" s="6">
        <v>120</v>
      </c>
      <c r="BZ21" s="6">
        <v>180</v>
      </c>
      <c r="CA21" s="6">
        <v>0</v>
      </c>
      <c r="CB21" s="6">
        <v>0</v>
      </c>
      <c r="CC21" s="6">
        <v>0</v>
      </c>
      <c r="CD21" s="6">
        <v>0</v>
      </c>
      <c r="CE21" s="6">
        <v>1</v>
      </c>
      <c r="CF21" s="6">
        <v>1</v>
      </c>
      <c r="CG21" s="6">
        <v>1</v>
      </c>
      <c r="CH21" s="6">
        <v>1</v>
      </c>
    </row>
    <row r="22" spans="1:86" ht="18.75" customHeight="1">
      <c r="A22" s="1" t="s">
        <v>34</v>
      </c>
      <c r="B22" s="1" t="s">
        <v>78</v>
      </c>
      <c r="C22" s="6">
        <v>77</v>
      </c>
      <c r="D22" s="6">
        <v>158</v>
      </c>
      <c r="E22" s="6">
        <v>73</v>
      </c>
      <c r="F22" s="4" t="s">
        <v>85</v>
      </c>
      <c r="G22" s="1" t="s">
        <v>87</v>
      </c>
      <c r="H22" s="6">
        <v>74</v>
      </c>
      <c r="I22" s="6">
        <v>37</v>
      </c>
      <c r="J22" s="6">
        <v>38</v>
      </c>
      <c r="K22" s="6">
        <v>10</v>
      </c>
      <c r="L22" s="5">
        <v>9.5</v>
      </c>
      <c r="M22" s="6">
        <v>6</v>
      </c>
      <c r="N22" s="6">
        <v>6</v>
      </c>
      <c r="O22" s="6">
        <v>11</v>
      </c>
      <c r="P22" s="6">
        <v>11</v>
      </c>
      <c r="Q22" s="6">
        <v>7</v>
      </c>
      <c r="R22" s="5">
        <v>7.5</v>
      </c>
      <c r="S22" s="5">
        <v>8.5</v>
      </c>
      <c r="T22" s="5">
        <v>8.5</v>
      </c>
      <c r="U22" s="6">
        <v>245</v>
      </c>
      <c r="V22" s="6">
        <v>245</v>
      </c>
      <c r="W22" s="6">
        <v>100</v>
      </c>
      <c r="X22" s="6">
        <v>90</v>
      </c>
      <c r="Y22" s="6">
        <v>100</v>
      </c>
      <c r="Z22" s="6">
        <v>100</v>
      </c>
      <c r="AA22" s="6">
        <v>100</v>
      </c>
      <c r="AB22" s="6">
        <v>90</v>
      </c>
      <c r="AC22" s="6">
        <v>90</v>
      </c>
      <c r="AD22" s="6">
        <v>100</v>
      </c>
      <c r="AE22" s="6">
        <v>100</v>
      </c>
      <c r="AF22" s="6">
        <v>100</v>
      </c>
      <c r="AG22" s="6">
        <v>100</v>
      </c>
      <c r="AH22" s="6">
        <v>100</v>
      </c>
      <c r="AI22" s="6">
        <v>100</v>
      </c>
      <c r="AJ22" s="6">
        <v>100</v>
      </c>
      <c r="AK22" s="6">
        <v>100</v>
      </c>
      <c r="AL22" s="6">
        <v>80</v>
      </c>
      <c r="AM22" s="6">
        <v>1550</v>
      </c>
      <c r="AN22" s="6">
        <v>1</v>
      </c>
      <c r="AO22" s="6">
        <v>1</v>
      </c>
      <c r="AP22" s="6">
        <v>1</v>
      </c>
      <c r="AQ22" s="6">
        <v>1</v>
      </c>
      <c r="AR22" s="6">
        <v>1</v>
      </c>
      <c r="AS22" s="6">
        <v>1</v>
      </c>
      <c r="AT22" s="6">
        <v>1</v>
      </c>
      <c r="AU22" s="6">
        <v>1</v>
      </c>
      <c r="AV22" s="6">
        <v>1</v>
      </c>
      <c r="AW22" s="6">
        <v>1</v>
      </c>
      <c r="AX22" s="6">
        <v>2</v>
      </c>
      <c r="AY22" s="6">
        <v>1</v>
      </c>
      <c r="AZ22" s="6">
        <v>1</v>
      </c>
      <c r="BA22" s="6">
        <v>1</v>
      </c>
      <c r="BB22" s="6">
        <v>1</v>
      </c>
      <c r="BC22" s="6">
        <v>1</v>
      </c>
      <c r="BD22" s="6">
        <v>17</v>
      </c>
      <c r="BE22" s="6">
        <v>23</v>
      </c>
      <c r="BF22" s="6">
        <v>25</v>
      </c>
      <c r="BG22" s="5">
        <v>10.16</v>
      </c>
      <c r="BH22" s="5">
        <v>7.74</v>
      </c>
      <c r="BI22" s="6">
        <v>0</v>
      </c>
      <c r="BJ22" s="6">
        <v>0</v>
      </c>
      <c r="BK22" s="6">
        <v>6</v>
      </c>
      <c r="BL22" s="6">
        <v>6</v>
      </c>
      <c r="BM22" s="6">
        <v>22</v>
      </c>
      <c r="BN22" s="6">
        <v>27</v>
      </c>
      <c r="BO22" s="6">
        <v>21</v>
      </c>
      <c r="BP22" s="6">
        <v>21</v>
      </c>
      <c r="BQ22" s="6">
        <v>14</v>
      </c>
      <c r="BR22" s="6">
        <v>5</v>
      </c>
      <c r="BS22" s="6">
        <v>0</v>
      </c>
      <c r="BT22" s="6">
        <v>0</v>
      </c>
      <c r="BU22" s="6">
        <v>0</v>
      </c>
      <c r="BV22" s="6">
        <v>6</v>
      </c>
      <c r="BW22" s="6">
        <v>30</v>
      </c>
      <c r="BX22" s="6">
        <v>7</v>
      </c>
      <c r="BY22" s="6">
        <v>30</v>
      </c>
      <c r="BZ22" s="6">
        <v>0</v>
      </c>
      <c r="CA22" s="6">
        <v>0</v>
      </c>
      <c r="CB22" s="6">
        <v>0</v>
      </c>
      <c r="CC22" s="6">
        <v>0</v>
      </c>
      <c r="CD22" s="6">
        <v>0</v>
      </c>
      <c r="CE22" s="6">
        <v>0</v>
      </c>
      <c r="CF22" s="6">
        <v>1</v>
      </c>
      <c r="CG22" s="6">
        <v>0</v>
      </c>
      <c r="CH22" s="6">
        <v>1</v>
      </c>
    </row>
    <row r="23" spans="1:86" ht="18.75" customHeight="1">
      <c r="A23" s="1" t="s">
        <v>35</v>
      </c>
      <c r="B23" s="1" t="s">
        <v>78</v>
      </c>
      <c r="C23" s="6">
        <v>78</v>
      </c>
      <c r="D23" s="6">
        <v>156</v>
      </c>
      <c r="E23" s="6">
        <v>65</v>
      </c>
      <c r="F23" s="4" t="s">
        <v>85</v>
      </c>
      <c r="G23" s="1" t="s">
        <v>87</v>
      </c>
      <c r="H23" s="6">
        <v>75</v>
      </c>
      <c r="I23" s="6">
        <v>38</v>
      </c>
      <c r="J23" s="6">
        <v>39</v>
      </c>
      <c r="K23" s="6">
        <v>8</v>
      </c>
      <c r="L23" s="6">
        <v>8</v>
      </c>
      <c r="M23" s="6">
        <v>7</v>
      </c>
      <c r="N23" s="5">
        <v>7.5</v>
      </c>
      <c r="O23" s="5">
        <v>11.5</v>
      </c>
      <c r="P23" s="6">
        <v>11</v>
      </c>
      <c r="Q23" s="5">
        <v>7.5</v>
      </c>
      <c r="R23" s="5">
        <v>7.5</v>
      </c>
      <c r="S23" s="6">
        <v>9</v>
      </c>
      <c r="T23" s="6">
        <v>9</v>
      </c>
      <c r="U23" s="6">
        <v>245</v>
      </c>
      <c r="V23" s="6">
        <v>245</v>
      </c>
      <c r="W23" s="6">
        <v>70</v>
      </c>
      <c r="X23" s="6">
        <v>70</v>
      </c>
      <c r="Y23" s="6">
        <v>80</v>
      </c>
      <c r="Z23" s="6">
        <v>60</v>
      </c>
      <c r="AA23" s="6">
        <v>70</v>
      </c>
      <c r="AB23" s="6">
        <v>70</v>
      </c>
      <c r="AC23" s="6">
        <v>70</v>
      </c>
      <c r="AD23" s="6">
        <v>80</v>
      </c>
      <c r="AE23" s="6">
        <v>80</v>
      </c>
      <c r="AF23" s="6">
        <v>80</v>
      </c>
      <c r="AG23" s="6">
        <v>80</v>
      </c>
      <c r="AH23" s="6">
        <v>80</v>
      </c>
      <c r="AI23" s="6">
        <v>80</v>
      </c>
      <c r="AJ23" s="6">
        <v>80</v>
      </c>
      <c r="AK23" s="6">
        <v>80</v>
      </c>
      <c r="AL23" s="6">
        <v>80</v>
      </c>
      <c r="AM23" s="6">
        <v>1210</v>
      </c>
      <c r="AN23" s="6">
        <v>2</v>
      </c>
      <c r="AO23" s="6">
        <v>1</v>
      </c>
      <c r="AP23" s="6">
        <v>2</v>
      </c>
      <c r="AQ23" s="6">
        <v>2</v>
      </c>
      <c r="AR23" s="6">
        <v>2</v>
      </c>
      <c r="AS23" s="6">
        <v>1</v>
      </c>
      <c r="AT23" s="6">
        <v>2</v>
      </c>
      <c r="AU23" s="6">
        <v>2</v>
      </c>
      <c r="AV23" s="6">
        <v>2</v>
      </c>
      <c r="AW23" s="6">
        <v>1</v>
      </c>
      <c r="AX23" s="6">
        <v>2</v>
      </c>
      <c r="AY23" s="6">
        <v>1</v>
      </c>
      <c r="AZ23" s="6">
        <v>2</v>
      </c>
      <c r="BA23" s="6">
        <v>1</v>
      </c>
      <c r="BB23" s="6">
        <v>2</v>
      </c>
      <c r="BC23" s="6">
        <v>2</v>
      </c>
      <c r="BD23" s="6">
        <v>27</v>
      </c>
      <c r="BE23" s="6">
        <v>13</v>
      </c>
      <c r="BF23" s="6">
        <v>29</v>
      </c>
      <c r="BG23" s="5">
        <v>10.7</v>
      </c>
      <c r="BH23" s="5">
        <v>8.9</v>
      </c>
      <c r="BI23" s="6">
        <v>2</v>
      </c>
      <c r="BJ23" s="6">
        <v>6</v>
      </c>
      <c r="BK23" s="6">
        <v>3</v>
      </c>
      <c r="BL23" s="6">
        <v>13</v>
      </c>
      <c r="BM23" s="6">
        <v>20</v>
      </c>
      <c r="BN23" s="6">
        <v>20</v>
      </c>
      <c r="BO23" s="6">
        <v>19</v>
      </c>
      <c r="BP23" s="6">
        <v>19</v>
      </c>
      <c r="BQ23" s="6">
        <v>14</v>
      </c>
      <c r="BR23" s="6">
        <v>0</v>
      </c>
      <c r="BS23" s="4" t="s">
        <v>153</v>
      </c>
      <c r="BT23" s="6">
        <v>0</v>
      </c>
      <c r="BU23" s="6">
        <v>0</v>
      </c>
      <c r="BV23" s="6">
        <v>0</v>
      </c>
      <c r="BW23" s="6">
        <v>0</v>
      </c>
      <c r="BX23" s="6">
        <v>7</v>
      </c>
      <c r="BY23" s="6">
        <v>30</v>
      </c>
      <c r="BZ23" s="6">
        <v>240</v>
      </c>
      <c r="CA23" s="6">
        <v>0</v>
      </c>
      <c r="CB23" s="6">
        <v>1</v>
      </c>
      <c r="CC23" s="6">
        <v>0</v>
      </c>
      <c r="CD23" s="6">
        <v>1</v>
      </c>
      <c r="CE23" s="6">
        <v>1</v>
      </c>
      <c r="CF23" s="6">
        <v>0</v>
      </c>
      <c r="CG23" s="6">
        <v>0</v>
      </c>
      <c r="CH23" s="4" t="s">
        <v>178</v>
      </c>
    </row>
    <row r="24" spans="1:86" ht="18.75" customHeight="1">
      <c r="A24" s="1" t="s">
        <v>36</v>
      </c>
      <c r="B24" s="1" t="s">
        <v>78</v>
      </c>
      <c r="C24" s="6">
        <v>68</v>
      </c>
      <c r="D24" s="6">
        <v>157</v>
      </c>
      <c r="E24" s="6">
        <v>45</v>
      </c>
      <c r="F24" s="4" t="s">
        <v>85</v>
      </c>
      <c r="G24" s="1" t="s">
        <v>87</v>
      </c>
      <c r="H24" s="6">
        <v>80</v>
      </c>
      <c r="I24" s="6">
        <v>27</v>
      </c>
      <c r="J24" s="6">
        <v>27</v>
      </c>
      <c r="K24" s="6">
        <v>9</v>
      </c>
      <c r="L24" s="6">
        <v>9</v>
      </c>
      <c r="M24" s="6">
        <v>6</v>
      </c>
      <c r="N24" s="6">
        <v>6</v>
      </c>
      <c r="O24" s="5">
        <v>8.5</v>
      </c>
      <c r="P24" s="5">
        <v>8.5</v>
      </c>
      <c r="Q24" s="6">
        <v>7</v>
      </c>
      <c r="R24" s="6">
        <v>7</v>
      </c>
      <c r="S24" s="5">
        <v>8.5</v>
      </c>
      <c r="T24" s="5">
        <v>8.5</v>
      </c>
      <c r="U24" s="6">
        <v>230</v>
      </c>
      <c r="V24" s="6">
        <v>230</v>
      </c>
      <c r="W24" s="6">
        <v>100</v>
      </c>
      <c r="X24" s="6">
        <v>90</v>
      </c>
      <c r="Y24" s="6">
        <v>100</v>
      </c>
      <c r="Z24" s="6">
        <v>100</v>
      </c>
      <c r="AA24" s="6">
        <v>100</v>
      </c>
      <c r="AB24" s="6">
        <v>100</v>
      </c>
      <c r="AC24" s="6">
        <v>100</v>
      </c>
      <c r="AD24" s="6">
        <v>100</v>
      </c>
      <c r="AE24" s="6">
        <v>100</v>
      </c>
      <c r="AF24" s="6">
        <v>100</v>
      </c>
      <c r="AG24" s="6">
        <v>100</v>
      </c>
      <c r="AH24" s="6">
        <v>100</v>
      </c>
      <c r="AI24" s="6">
        <v>100</v>
      </c>
      <c r="AJ24" s="6">
        <v>100</v>
      </c>
      <c r="AK24" s="6">
        <v>100</v>
      </c>
      <c r="AL24" s="6">
        <v>90</v>
      </c>
      <c r="AM24" s="6">
        <v>1580</v>
      </c>
      <c r="AN24" s="6">
        <v>1</v>
      </c>
      <c r="AO24" s="6">
        <v>1</v>
      </c>
      <c r="AP24" s="6">
        <v>1</v>
      </c>
      <c r="AQ24" s="6">
        <v>1</v>
      </c>
      <c r="AR24" s="6">
        <v>1</v>
      </c>
      <c r="AS24" s="6">
        <v>1</v>
      </c>
      <c r="AT24" s="6">
        <v>2</v>
      </c>
      <c r="AU24" s="6">
        <v>1</v>
      </c>
      <c r="AV24" s="6">
        <v>1</v>
      </c>
      <c r="AW24" s="6">
        <v>1</v>
      </c>
      <c r="AX24" s="6">
        <v>2</v>
      </c>
      <c r="AY24" s="6">
        <v>1</v>
      </c>
      <c r="AZ24" s="6">
        <v>1</v>
      </c>
      <c r="BA24" s="6">
        <v>1</v>
      </c>
      <c r="BB24" s="6">
        <v>1</v>
      </c>
      <c r="BC24" s="6">
        <v>1</v>
      </c>
      <c r="BD24" s="6">
        <v>18</v>
      </c>
      <c r="BE24" s="6">
        <v>4</v>
      </c>
      <c r="BF24" s="6">
        <v>25</v>
      </c>
      <c r="BG24" s="5">
        <v>8.7100000000000009</v>
      </c>
      <c r="BH24" s="5">
        <v>7.48</v>
      </c>
      <c r="BI24" s="6">
        <v>21</v>
      </c>
      <c r="BJ24" s="6">
        <v>21</v>
      </c>
      <c r="BK24" s="6">
        <v>18</v>
      </c>
      <c r="BL24" s="6">
        <v>20</v>
      </c>
      <c r="BM24" s="6">
        <v>25</v>
      </c>
      <c r="BN24" s="6">
        <v>28</v>
      </c>
      <c r="BO24" s="6">
        <v>34</v>
      </c>
      <c r="BP24" s="6">
        <v>26</v>
      </c>
      <c r="BQ24" s="6">
        <v>18</v>
      </c>
      <c r="BR24" s="6">
        <v>17</v>
      </c>
      <c r="BS24" s="4" t="s">
        <v>154</v>
      </c>
      <c r="BT24" s="6">
        <v>3</v>
      </c>
      <c r="BU24" s="6">
        <v>60</v>
      </c>
      <c r="BV24" s="6">
        <v>0</v>
      </c>
      <c r="BW24" s="6">
        <v>0</v>
      </c>
      <c r="BX24" s="6">
        <v>4</v>
      </c>
      <c r="BY24" s="6">
        <v>60</v>
      </c>
      <c r="BZ24" s="6">
        <v>240</v>
      </c>
      <c r="CA24" s="6">
        <v>0</v>
      </c>
      <c r="CB24" s="6">
        <v>1</v>
      </c>
      <c r="CC24" s="6">
        <v>0</v>
      </c>
      <c r="CD24" s="6">
        <v>1</v>
      </c>
      <c r="CE24" s="6">
        <v>0</v>
      </c>
      <c r="CF24" s="6">
        <v>1</v>
      </c>
      <c r="CG24" s="6">
        <v>0</v>
      </c>
      <c r="CH24" s="6">
        <v>0</v>
      </c>
    </row>
    <row r="25" spans="1:86" ht="18.75" customHeight="1">
      <c r="A25" s="1" t="s">
        <v>38</v>
      </c>
      <c r="B25" s="1" t="s">
        <v>79</v>
      </c>
      <c r="C25" s="6">
        <v>19</v>
      </c>
      <c r="D25" s="6">
        <v>175</v>
      </c>
      <c r="E25" s="6">
        <v>77</v>
      </c>
      <c r="F25" s="6">
        <v>0</v>
      </c>
      <c r="G25" s="1" t="s">
        <v>87</v>
      </c>
      <c r="H25" s="6">
        <v>88</v>
      </c>
      <c r="I25" s="6">
        <v>51</v>
      </c>
      <c r="J25" s="6">
        <v>51</v>
      </c>
      <c r="K25" s="6">
        <v>9</v>
      </c>
      <c r="L25" s="6">
        <v>9</v>
      </c>
      <c r="M25" s="6">
        <v>6</v>
      </c>
      <c r="N25" s="6">
        <v>6</v>
      </c>
      <c r="O25" s="6">
        <v>10</v>
      </c>
      <c r="P25" s="6">
        <v>10</v>
      </c>
      <c r="Q25" s="6">
        <v>8</v>
      </c>
      <c r="R25" s="6">
        <v>8</v>
      </c>
      <c r="S25" s="5">
        <v>9.5</v>
      </c>
      <c r="T25" s="5">
        <v>9.5</v>
      </c>
      <c r="U25" s="6">
        <v>265</v>
      </c>
      <c r="V25" s="6">
        <v>265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E25" s="6">
        <v>16</v>
      </c>
      <c r="BF25" s="6">
        <v>31</v>
      </c>
      <c r="BG25" s="5">
        <v>8.98</v>
      </c>
      <c r="BH25" s="5">
        <v>5.19</v>
      </c>
      <c r="BI25" s="6">
        <v>60</v>
      </c>
      <c r="BJ25" s="6">
        <v>60</v>
      </c>
      <c r="BK25" s="6">
        <v>60</v>
      </c>
      <c r="BL25" s="6">
        <v>60</v>
      </c>
      <c r="BM25" s="6">
        <v>62</v>
      </c>
      <c r="BN25" s="6">
        <v>62</v>
      </c>
      <c r="BO25" s="6">
        <v>64</v>
      </c>
      <c r="BP25" s="6">
        <v>66</v>
      </c>
      <c r="BQ25" s="6">
        <v>0</v>
      </c>
      <c r="BR25" s="6">
        <v>20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6">
        <v>0</v>
      </c>
      <c r="CA25" s="4" t="s">
        <v>65</v>
      </c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6">
        <v>0</v>
      </c>
    </row>
    <row r="26" spans="1:86" ht="18.75" customHeight="1">
      <c r="A26" s="1" t="s">
        <v>37</v>
      </c>
      <c r="B26" s="1" t="s">
        <v>79</v>
      </c>
      <c r="C26" s="6">
        <v>24</v>
      </c>
      <c r="D26" s="6">
        <v>174</v>
      </c>
      <c r="E26" s="6">
        <v>81</v>
      </c>
      <c r="F26" s="6">
        <v>0</v>
      </c>
      <c r="G26" s="1" t="s">
        <v>87</v>
      </c>
      <c r="H26" s="6">
        <v>91</v>
      </c>
      <c r="I26" s="6">
        <v>48</v>
      </c>
      <c r="J26" s="6">
        <v>48</v>
      </c>
      <c r="K26" s="6">
        <v>10</v>
      </c>
      <c r="L26" s="6">
        <v>10</v>
      </c>
      <c r="M26" s="5">
        <v>6.5</v>
      </c>
      <c r="N26" s="5">
        <v>6.5</v>
      </c>
      <c r="O26" s="6">
        <v>11</v>
      </c>
      <c r="P26" s="6">
        <v>11</v>
      </c>
      <c r="Q26" s="6">
        <v>7</v>
      </c>
      <c r="R26" s="6">
        <v>7</v>
      </c>
      <c r="S26" s="5">
        <v>9.5</v>
      </c>
      <c r="T26" s="5">
        <v>9.5</v>
      </c>
      <c r="U26" s="6">
        <v>265</v>
      </c>
      <c r="V26" s="6">
        <v>265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12</v>
      </c>
      <c r="BF26" s="6">
        <v>27</v>
      </c>
      <c r="BG26" s="5">
        <v>7.84</v>
      </c>
      <c r="BH26" s="5">
        <v>4.2300000000000004</v>
      </c>
      <c r="BI26" s="6">
        <v>60</v>
      </c>
      <c r="BJ26" s="6">
        <v>60</v>
      </c>
      <c r="BK26" s="6">
        <v>60</v>
      </c>
      <c r="BL26" s="6">
        <v>60</v>
      </c>
      <c r="BM26" s="6">
        <v>44</v>
      </c>
      <c r="BN26" s="6">
        <v>36</v>
      </c>
      <c r="BO26" s="6">
        <v>45</v>
      </c>
      <c r="BP26" s="6">
        <v>36</v>
      </c>
      <c r="BQ26" s="6">
        <v>0</v>
      </c>
      <c r="BR26" s="6">
        <v>17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  <c r="BY26" s="6">
        <v>0</v>
      </c>
      <c r="BZ26" s="6">
        <v>0</v>
      </c>
      <c r="CA26" s="6">
        <v>0</v>
      </c>
      <c r="CB26" s="6">
        <v>0</v>
      </c>
      <c r="CC26" s="6">
        <v>0</v>
      </c>
      <c r="CD26" s="6">
        <v>0</v>
      </c>
      <c r="CE26" s="6">
        <v>0</v>
      </c>
      <c r="CF26" s="6">
        <v>0</v>
      </c>
      <c r="CG26" s="6">
        <v>0</v>
      </c>
      <c r="CH26" s="6">
        <v>0</v>
      </c>
    </row>
    <row r="27" spans="1:86" ht="18.75" customHeight="1">
      <c r="A27" s="1" t="s">
        <v>43</v>
      </c>
      <c r="B27" s="1" t="s">
        <v>79</v>
      </c>
      <c r="C27" s="6">
        <v>24</v>
      </c>
      <c r="D27" s="6">
        <v>174</v>
      </c>
      <c r="E27" s="6">
        <v>85</v>
      </c>
      <c r="F27" s="6">
        <v>0</v>
      </c>
      <c r="G27" s="1" t="s">
        <v>87</v>
      </c>
      <c r="H27" s="6">
        <v>87</v>
      </c>
      <c r="I27" s="6">
        <v>45</v>
      </c>
      <c r="J27" s="6">
        <v>45</v>
      </c>
      <c r="K27" s="6">
        <v>9</v>
      </c>
      <c r="L27" s="6">
        <v>9</v>
      </c>
      <c r="M27" s="5">
        <v>6.5</v>
      </c>
      <c r="N27" s="5">
        <v>6.5</v>
      </c>
      <c r="O27" s="5">
        <v>9.5</v>
      </c>
      <c r="P27" s="5">
        <v>9.5</v>
      </c>
      <c r="Q27" s="5">
        <v>7.5</v>
      </c>
      <c r="R27" s="5">
        <v>7.5</v>
      </c>
      <c r="S27" s="5">
        <v>9.5</v>
      </c>
      <c r="T27" s="5">
        <v>9.5</v>
      </c>
      <c r="U27" s="6">
        <v>275</v>
      </c>
      <c r="V27" s="6">
        <v>275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15</v>
      </c>
      <c r="BF27" s="6">
        <v>20</v>
      </c>
      <c r="BG27" s="6">
        <v>0</v>
      </c>
      <c r="BH27" s="6">
        <v>0</v>
      </c>
      <c r="BI27" s="6">
        <v>60</v>
      </c>
      <c r="BJ27" s="6">
        <v>60</v>
      </c>
      <c r="BK27" s="6">
        <v>60</v>
      </c>
      <c r="BL27" s="6">
        <v>60</v>
      </c>
      <c r="BM27" s="6">
        <v>52</v>
      </c>
      <c r="BN27" s="6">
        <v>51</v>
      </c>
      <c r="BO27" s="6">
        <v>48</v>
      </c>
      <c r="BP27" s="6">
        <v>48</v>
      </c>
      <c r="BQ27" s="6">
        <v>0</v>
      </c>
      <c r="BR27" s="6">
        <v>6</v>
      </c>
      <c r="BS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  <c r="BY27" s="6">
        <v>0</v>
      </c>
      <c r="BZ27" s="6">
        <v>0</v>
      </c>
      <c r="CA27" s="6">
        <v>0</v>
      </c>
      <c r="CB27" s="6">
        <v>0</v>
      </c>
      <c r="CC27" s="6">
        <v>0</v>
      </c>
      <c r="CD27" s="6">
        <v>0</v>
      </c>
      <c r="CE27" s="6">
        <v>0</v>
      </c>
      <c r="CF27" s="6">
        <v>0</v>
      </c>
      <c r="CG27" s="6">
        <v>0</v>
      </c>
      <c r="CH27" s="6">
        <v>0</v>
      </c>
    </row>
    <row r="28" spans="1:86" ht="18.75" customHeight="1">
      <c r="A28" s="1" t="s">
        <v>42</v>
      </c>
      <c r="B28" s="1" t="s">
        <v>79</v>
      </c>
      <c r="C28" s="6">
        <v>23</v>
      </c>
      <c r="D28" s="6">
        <v>170</v>
      </c>
      <c r="E28" s="6">
        <v>66</v>
      </c>
      <c r="F28" s="6">
        <v>0</v>
      </c>
      <c r="G28" s="1" t="s">
        <v>87</v>
      </c>
      <c r="H28" s="5">
        <v>86.5</v>
      </c>
      <c r="I28" s="6">
        <v>37</v>
      </c>
      <c r="J28" s="6">
        <v>37</v>
      </c>
      <c r="K28" s="6">
        <v>7</v>
      </c>
      <c r="L28" s="6">
        <v>7</v>
      </c>
      <c r="M28" s="5">
        <v>5.5</v>
      </c>
      <c r="N28" s="5">
        <v>5.5</v>
      </c>
      <c r="O28" s="6">
        <v>10</v>
      </c>
      <c r="P28" s="6">
        <v>10</v>
      </c>
      <c r="Q28" s="6">
        <v>6</v>
      </c>
      <c r="R28" s="6">
        <v>6</v>
      </c>
      <c r="S28" s="5">
        <v>9.5</v>
      </c>
      <c r="T28" s="5">
        <v>9.5</v>
      </c>
      <c r="U28" s="6">
        <v>260</v>
      </c>
      <c r="V28" s="6">
        <v>260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10</v>
      </c>
      <c r="BF28" s="6">
        <v>22</v>
      </c>
      <c r="BG28" s="5">
        <v>8.43</v>
      </c>
      <c r="BH28" s="5">
        <v>6.27</v>
      </c>
      <c r="BI28" s="6">
        <v>60</v>
      </c>
      <c r="BJ28" s="6">
        <v>60</v>
      </c>
      <c r="BK28" s="6">
        <v>60</v>
      </c>
      <c r="BL28" s="6">
        <v>60</v>
      </c>
      <c r="BM28" s="6">
        <v>38</v>
      </c>
      <c r="BN28" s="6">
        <v>34</v>
      </c>
      <c r="BO28" s="6">
        <v>38</v>
      </c>
      <c r="BP28" s="6">
        <v>30</v>
      </c>
      <c r="BQ28" s="6">
        <v>0</v>
      </c>
      <c r="BR28" s="6">
        <v>3</v>
      </c>
      <c r="BS28" s="6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6">
        <v>0</v>
      </c>
      <c r="CA28" s="6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6">
        <v>0</v>
      </c>
    </row>
    <row r="29" spans="1:86" ht="18.75" customHeight="1">
      <c r="A29" s="1" t="s">
        <v>41</v>
      </c>
      <c r="B29" s="1" t="s">
        <v>78</v>
      </c>
      <c r="C29" s="6">
        <v>18</v>
      </c>
      <c r="D29" s="6">
        <v>160</v>
      </c>
      <c r="E29" s="6">
        <v>53</v>
      </c>
      <c r="F29" s="6">
        <v>0</v>
      </c>
      <c r="G29" s="1" t="s">
        <v>87</v>
      </c>
      <c r="H29" s="6">
        <v>86</v>
      </c>
      <c r="I29" s="6">
        <v>39</v>
      </c>
      <c r="J29" s="6">
        <v>39</v>
      </c>
      <c r="K29" s="6">
        <v>8</v>
      </c>
      <c r="L29" s="6">
        <v>8</v>
      </c>
      <c r="M29" s="5">
        <v>5.5</v>
      </c>
      <c r="N29" s="5">
        <v>5.5</v>
      </c>
      <c r="O29" s="6">
        <v>9</v>
      </c>
      <c r="P29" s="6">
        <v>9</v>
      </c>
      <c r="Q29" s="5">
        <v>6.5</v>
      </c>
      <c r="R29" s="5">
        <v>6.5</v>
      </c>
      <c r="S29" s="5">
        <v>8.5</v>
      </c>
      <c r="T29" s="5">
        <v>8.5</v>
      </c>
      <c r="U29" s="6">
        <v>240</v>
      </c>
      <c r="V29" s="6">
        <v>240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16</v>
      </c>
      <c r="BF29" s="6">
        <v>23</v>
      </c>
      <c r="BG29" s="5">
        <v>7.14</v>
      </c>
      <c r="BH29" s="5">
        <v>4.67</v>
      </c>
      <c r="BI29" s="6">
        <v>60</v>
      </c>
      <c r="BJ29" s="6">
        <v>60</v>
      </c>
      <c r="BK29" s="6">
        <v>60</v>
      </c>
      <c r="BL29" s="6">
        <v>60</v>
      </c>
      <c r="BM29" s="6">
        <v>30</v>
      </c>
      <c r="BN29" s="6">
        <v>24</v>
      </c>
      <c r="BO29" s="6">
        <v>30</v>
      </c>
      <c r="BP29" s="6">
        <v>22</v>
      </c>
      <c r="BQ29" s="6">
        <v>0</v>
      </c>
      <c r="BR29" s="6">
        <v>16</v>
      </c>
      <c r="BS29" s="6">
        <v>0</v>
      </c>
      <c r="BT29" s="6">
        <v>0</v>
      </c>
      <c r="BU29" s="6">
        <v>0</v>
      </c>
      <c r="BV29" s="6">
        <v>0</v>
      </c>
      <c r="BW29" s="6">
        <v>0</v>
      </c>
      <c r="BX29" s="6">
        <v>0</v>
      </c>
      <c r="BY29" s="6">
        <v>0</v>
      </c>
      <c r="BZ29" s="6">
        <v>0</v>
      </c>
      <c r="CA29" s="6">
        <v>0</v>
      </c>
      <c r="CB29" s="6">
        <v>0</v>
      </c>
      <c r="CC29" s="6">
        <v>0</v>
      </c>
      <c r="CD29" s="6">
        <v>0</v>
      </c>
      <c r="CE29" s="6">
        <v>0</v>
      </c>
      <c r="CF29" s="6">
        <v>0</v>
      </c>
      <c r="CG29" s="6">
        <v>0</v>
      </c>
      <c r="CH29" s="6">
        <v>0</v>
      </c>
    </row>
    <row r="30" spans="1:86" ht="18.75" customHeight="1">
      <c r="A30" s="1" t="s">
        <v>40</v>
      </c>
      <c r="B30" s="1" t="s">
        <v>78</v>
      </c>
      <c r="C30" s="6">
        <v>20</v>
      </c>
      <c r="D30" s="6">
        <v>173</v>
      </c>
      <c r="E30" s="6">
        <v>55</v>
      </c>
      <c r="F30" s="6">
        <v>0</v>
      </c>
      <c r="G30" s="1" t="s">
        <v>87</v>
      </c>
      <c r="H30" s="6">
        <v>93</v>
      </c>
      <c r="I30" s="6">
        <v>31</v>
      </c>
      <c r="J30" s="6">
        <v>31</v>
      </c>
      <c r="K30" s="6">
        <v>8</v>
      </c>
      <c r="L30" s="5">
        <v>7.5</v>
      </c>
      <c r="M30" s="6">
        <v>5</v>
      </c>
      <c r="N30" s="5">
        <v>4.5</v>
      </c>
      <c r="O30" s="5">
        <v>9.5</v>
      </c>
      <c r="P30" s="5">
        <v>9.5</v>
      </c>
      <c r="Q30" s="6">
        <v>6</v>
      </c>
      <c r="R30" s="6">
        <v>6</v>
      </c>
      <c r="S30" s="6">
        <v>9</v>
      </c>
      <c r="T30" s="6">
        <v>9</v>
      </c>
      <c r="U30" s="6">
        <v>240</v>
      </c>
      <c r="V30" s="6">
        <v>240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16</v>
      </c>
      <c r="BF30" s="6">
        <v>25</v>
      </c>
      <c r="BG30" s="5">
        <v>8.67</v>
      </c>
      <c r="BH30" s="5">
        <v>4.7</v>
      </c>
      <c r="BI30" s="6">
        <v>60</v>
      </c>
      <c r="BJ30" s="6">
        <v>60</v>
      </c>
      <c r="BK30" s="6">
        <v>60</v>
      </c>
      <c r="BL30" s="6">
        <v>60</v>
      </c>
      <c r="BM30" s="6">
        <v>32</v>
      </c>
      <c r="BN30" s="6">
        <v>32</v>
      </c>
      <c r="BO30" s="6">
        <v>32</v>
      </c>
      <c r="BP30" s="6">
        <v>26</v>
      </c>
      <c r="BQ30" s="6">
        <v>0</v>
      </c>
      <c r="BR30" s="6">
        <v>14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  <c r="BZ30" s="6">
        <v>0</v>
      </c>
      <c r="CA30" s="6">
        <v>0</v>
      </c>
      <c r="CB30" s="6">
        <v>0</v>
      </c>
      <c r="CC30" s="6">
        <v>0</v>
      </c>
      <c r="CD30" s="6">
        <v>0</v>
      </c>
      <c r="CE30" s="6">
        <v>0</v>
      </c>
      <c r="CF30" s="6">
        <v>0</v>
      </c>
      <c r="CG30" s="6">
        <v>0</v>
      </c>
      <c r="CH30" s="6">
        <v>0</v>
      </c>
    </row>
    <row r="31" spans="1:86" ht="18.75" customHeight="1">
      <c r="A31" s="1" t="s">
        <v>39</v>
      </c>
      <c r="B31" s="1" t="s">
        <v>78</v>
      </c>
      <c r="C31" s="6">
        <v>24</v>
      </c>
      <c r="D31" s="6">
        <v>159</v>
      </c>
      <c r="E31" s="6">
        <v>54</v>
      </c>
      <c r="F31" s="6">
        <v>0</v>
      </c>
      <c r="G31" s="1" t="s">
        <v>88</v>
      </c>
      <c r="H31" s="6">
        <v>85</v>
      </c>
      <c r="I31" s="6">
        <v>44</v>
      </c>
      <c r="J31" s="6">
        <v>44</v>
      </c>
      <c r="K31" s="5">
        <v>8.5</v>
      </c>
      <c r="L31" s="6">
        <v>8</v>
      </c>
      <c r="M31" s="6">
        <v>6</v>
      </c>
      <c r="N31" s="6">
        <v>6</v>
      </c>
      <c r="O31" s="6">
        <v>11</v>
      </c>
      <c r="P31" s="6">
        <v>11</v>
      </c>
      <c r="Q31" s="6">
        <v>7</v>
      </c>
      <c r="R31" s="6">
        <v>7</v>
      </c>
      <c r="S31" s="6">
        <v>9</v>
      </c>
      <c r="T31" s="6">
        <v>9</v>
      </c>
      <c r="U31" s="6">
        <v>230</v>
      </c>
      <c r="V31" s="6">
        <v>230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16</v>
      </c>
      <c r="BF31" s="6">
        <v>20</v>
      </c>
      <c r="BG31" s="5">
        <v>9.4</v>
      </c>
      <c r="BH31" s="5">
        <v>5.3</v>
      </c>
      <c r="BI31" s="6">
        <v>60</v>
      </c>
      <c r="BJ31" s="6">
        <v>60</v>
      </c>
      <c r="BK31" s="6">
        <v>60</v>
      </c>
      <c r="BL31" s="6">
        <v>60</v>
      </c>
      <c r="BM31" s="6">
        <v>20</v>
      </c>
      <c r="BN31" s="6">
        <v>24</v>
      </c>
      <c r="BO31" s="6">
        <v>22</v>
      </c>
      <c r="BP31" s="6">
        <v>24</v>
      </c>
      <c r="BQ31" s="6">
        <v>0</v>
      </c>
      <c r="BR31" s="6">
        <v>9</v>
      </c>
      <c r="BS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  <c r="BY31" s="6">
        <v>0</v>
      </c>
      <c r="BZ31" s="6">
        <v>0</v>
      </c>
      <c r="CA31" s="6">
        <v>0</v>
      </c>
      <c r="CB31" s="6">
        <v>0</v>
      </c>
      <c r="CC31" s="6">
        <v>0</v>
      </c>
      <c r="CD31" s="6">
        <v>0</v>
      </c>
      <c r="CE31" s="6">
        <v>0</v>
      </c>
      <c r="CF31" s="6">
        <v>0</v>
      </c>
      <c r="CG31" s="6">
        <v>0</v>
      </c>
      <c r="CH31" s="6">
        <v>0</v>
      </c>
    </row>
    <row r="32" spans="1:86" ht="18.75" customHeight="1">
      <c r="A32" s="1" t="s">
        <v>44</v>
      </c>
      <c r="B32" s="1" t="s">
        <v>78</v>
      </c>
      <c r="C32" s="6">
        <v>18</v>
      </c>
      <c r="D32" s="6">
        <v>159</v>
      </c>
      <c r="E32" s="6">
        <v>55</v>
      </c>
      <c r="F32" s="6">
        <v>0</v>
      </c>
      <c r="G32" s="1" t="s">
        <v>87</v>
      </c>
      <c r="H32" s="6">
        <v>83</v>
      </c>
      <c r="I32" s="6">
        <v>44</v>
      </c>
      <c r="J32" s="6">
        <v>44</v>
      </c>
      <c r="K32" s="5">
        <v>7.5</v>
      </c>
      <c r="L32" s="5">
        <v>7.5</v>
      </c>
      <c r="M32" s="5">
        <v>5.5</v>
      </c>
      <c r="N32" s="5">
        <v>5.5</v>
      </c>
      <c r="O32" s="6">
        <v>11</v>
      </c>
      <c r="P32" s="6">
        <v>11</v>
      </c>
      <c r="Q32" s="6">
        <v>7</v>
      </c>
      <c r="R32" s="6">
        <v>7</v>
      </c>
      <c r="S32" s="6">
        <v>9</v>
      </c>
      <c r="T32" s="6">
        <v>9</v>
      </c>
      <c r="U32" s="6">
        <v>230</v>
      </c>
      <c r="V32" s="6">
        <v>230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30</v>
      </c>
      <c r="BF32" s="6">
        <v>35</v>
      </c>
      <c r="BG32" s="5">
        <v>8.3699999999999992</v>
      </c>
      <c r="BH32" s="5">
        <v>5.73</v>
      </c>
      <c r="BI32" s="6">
        <v>46</v>
      </c>
      <c r="BJ32" s="6">
        <v>52</v>
      </c>
      <c r="BK32" s="6">
        <v>54</v>
      </c>
      <c r="BL32" s="6">
        <v>41</v>
      </c>
      <c r="BM32" s="6">
        <v>28</v>
      </c>
      <c r="BN32" s="6">
        <v>22</v>
      </c>
      <c r="BO32" s="6">
        <v>28</v>
      </c>
      <c r="BP32" s="6">
        <v>21</v>
      </c>
      <c r="BQ32" s="6">
        <v>10</v>
      </c>
      <c r="BR32" s="6">
        <v>19</v>
      </c>
      <c r="BS32" s="6">
        <v>0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  <c r="BY32" s="6">
        <v>0</v>
      </c>
      <c r="BZ32" s="6">
        <v>0</v>
      </c>
      <c r="CA32" s="6">
        <v>0</v>
      </c>
      <c r="CB32" s="6">
        <v>0</v>
      </c>
      <c r="CC32" s="6">
        <v>0</v>
      </c>
      <c r="CD32" s="6">
        <v>0</v>
      </c>
      <c r="CE32" s="6">
        <v>0</v>
      </c>
      <c r="CF32" s="6">
        <v>0</v>
      </c>
      <c r="CG32" s="6">
        <v>0</v>
      </c>
      <c r="CH32" s="6">
        <v>0</v>
      </c>
    </row>
    <row r="33" spans="1:86" ht="18.75" customHeight="1">
      <c r="A33" s="1" t="s">
        <v>45</v>
      </c>
      <c r="B33" s="1" t="s">
        <v>78</v>
      </c>
      <c r="C33" s="6">
        <v>22</v>
      </c>
      <c r="D33" s="6">
        <v>160</v>
      </c>
      <c r="E33" s="6">
        <v>68</v>
      </c>
      <c r="F33" s="6">
        <v>0</v>
      </c>
      <c r="G33" s="1" t="s">
        <v>87</v>
      </c>
      <c r="H33" s="6">
        <v>78</v>
      </c>
      <c r="I33" s="6">
        <v>43</v>
      </c>
      <c r="J33" s="6">
        <v>43</v>
      </c>
      <c r="K33" s="6">
        <v>8</v>
      </c>
      <c r="L33" s="6">
        <v>8</v>
      </c>
      <c r="M33" s="6">
        <v>6</v>
      </c>
      <c r="N33" s="6">
        <v>6</v>
      </c>
      <c r="O33" s="6">
        <v>11</v>
      </c>
      <c r="P33" s="6">
        <v>11</v>
      </c>
      <c r="Q33" s="5">
        <v>6.5</v>
      </c>
      <c r="R33" s="5">
        <v>6.5</v>
      </c>
      <c r="S33" s="6">
        <v>9</v>
      </c>
      <c r="T33" s="6">
        <v>9</v>
      </c>
      <c r="U33" s="6">
        <v>240</v>
      </c>
      <c r="V33" s="6">
        <v>240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0</v>
      </c>
      <c r="BC33" s="6">
        <v>0</v>
      </c>
      <c r="BD33" s="6">
        <v>0</v>
      </c>
      <c r="BE33" s="6">
        <v>20</v>
      </c>
      <c r="BF33" s="6">
        <v>33</v>
      </c>
      <c r="BG33" s="5">
        <v>8.3000000000000007</v>
      </c>
      <c r="BH33" s="5">
        <v>5.83</v>
      </c>
      <c r="BI33" s="6">
        <v>60</v>
      </c>
      <c r="BJ33" s="6">
        <v>60</v>
      </c>
      <c r="BK33" s="6">
        <v>60</v>
      </c>
      <c r="BL33" s="6">
        <v>60</v>
      </c>
      <c r="BM33" s="6">
        <v>30</v>
      </c>
      <c r="BN33" s="6">
        <v>25</v>
      </c>
      <c r="BO33" s="6">
        <v>28</v>
      </c>
      <c r="BP33" s="6">
        <v>28</v>
      </c>
      <c r="BQ33" s="6">
        <v>10</v>
      </c>
      <c r="BR33" s="6">
        <v>14</v>
      </c>
      <c r="BS33" s="6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6">
        <v>0</v>
      </c>
      <c r="CA33" s="6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6">
        <v>0</v>
      </c>
    </row>
    <row r="34" spans="1:86" ht="18.75" customHeight="1">
      <c r="A34" s="1" t="s">
        <v>46</v>
      </c>
      <c r="B34" s="1" t="s">
        <v>78</v>
      </c>
      <c r="C34" s="6">
        <v>19</v>
      </c>
      <c r="D34" s="6">
        <v>160</v>
      </c>
      <c r="E34" s="6">
        <v>52</v>
      </c>
      <c r="F34" s="6">
        <v>0</v>
      </c>
      <c r="G34" s="1" t="s">
        <v>87</v>
      </c>
      <c r="H34" s="6">
        <v>83</v>
      </c>
      <c r="I34" s="6">
        <v>43</v>
      </c>
      <c r="J34" s="6">
        <v>43</v>
      </c>
      <c r="K34" s="6">
        <v>8</v>
      </c>
      <c r="L34" s="6">
        <v>8</v>
      </c>
      <c r="M34" s="6">
        <v>5</v>
      </c>
      <c r="N34" s="6">
        <v>5</v>
      </c>
      <c r="O34" s="6">
        <v>11</v>
      </c>
      <c r="P34" s="6">
        <v>11</v>
      </c>
      <c r="Q34" s="6">
        <v>7</v>
      </c>
      <c r="R34" s="6">
        <v>7</v>
      </c>
      <c r="S34" s="6">
        <v>8</v>
      </c>
      <c r="T34" s="6">
        <v>8</v>
      </c>
      <c r="U34" s="6">
        <v>235</v>
      </c>
      <c r="V34" s="6">
        <v>235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16</v>
      </c>
      <c r="BF34" s="6">
        <v>32</v>
      </c>
      <c r="BG34" s="5">
        <v>7.02</v>
      </c>
      <c r="BH34" s="5">
        <v>5.7</v>
      </c>
      <c r="BI34" s="6">
        <v>60</v>
      </c>
      <c r="BJ34" s="6">
        <v>60</v>
      </c>
      <c r="BK34" s="6">
        <v>60</v>
      </c>
      <c r="BL34" s="6">
        <v>60</v>
      </c>
      <c r="BM34" s="6">
        <v>25</v>
      </c>
      <c r="BN34" s="6">
        <v>24</v>
      </c>
      <c r="BO34" s="6">
        <v>32</v>
      </c>
      <c r="BP34" s="6">
        <v>27</v>
      </c>
      <c r="BQ34" s="6">
        <v>11</v>
      </c>
      <c r="BR34" s="6">
        <v>7</v>
      </c>
      <c r="BS34" s="6">
        <v>0</v>
      </c>
      <c r="BT34" s="6">
        <v>0</v>
      </c>
      <c r="BU34" s="6">
        <v>0</v>
      </c>
      <c r="BV34" s="6">
        <v>0</v>
      </c>
      <c r="BW34" s="6">
        <v>0</v>
      </c>
      <c r="BX34" s="6">
        <v>0</v>
      </c>
      <c r="BY34" s="6">
        <v>0</v>
      </c>
      <c r="BZ34" s="6">
        <v>0</v>
      </c>
      <c r="CA34" s="6">
        <v>0</v>
      </c>
      <c r="CB34" s="6">
        <v>0</v>
      </c>
      <c r="CC34" s="6">
        <v>0</v>
      </c>
      <c r="CD34" s="6">
        <v>0</v>
      </c>
      <c r="CE34" s="6">
        <v>0</v>
      </c>
      <c r="CF34" s="6">
        <v>0</v>
      </c>
      <c r="CG34" s="6">
        <v>0</v>
      </c>
      <c r="CH34" s="6">
        <v>0</v>
      </c>
    </row>
    <row r="35" spans="1:86" ht="18.75" customHeight="1">
      <c r="A35" s="1" t="s">
        <v>54</v>
      </c>
      <c r="B35" s="1" t="s">
        <v>79</v>
      </c>
      <c r="C35" s="6">
        <v>22</v>
      </c>
      <c r="D35" s="6">
        <v>179</v>
      </c>
      <c r="E35" s="6">
        <v>63</v>
      </c>
      <c r="F35" s="6">
        <v>0</v>
      </c>
      <c r="G35" s="1" t="s">
        <v>88</v>
      </c>
      <c r="H35" s="6">
        <v>95</v>
      </c>
      <c r="I35" s="6">
        <v>34</v>
      </c>
      <c r="J35" s="6">
        <v>34</v>
      </c>
      <c r="K35" s="5">
        <v>8.5</v>
      </c>
      <c r="L35" s="5">
        <v>8.5</v>
      </c>
      <c r="M35" s="5">
        <v>5.4</v>
      </c>
      <c r="N35" s="5">
        <v>5.4</v>
      </c>
      <c r="O35" s="5">
        <v>9.5</v>
      </c>
      <c r="P35" s="5">
        <v>9.5</v>
      </c>
      <c r="Q35" s="5">
        <v>8.5</v>
      </c>
      <c r="R35" s="5">
        <v>8.5</v>
      </c>
      <c r="S35" s="6">
        <v>10</v>
      </c>
      <c r="T35" s="6">
        <v>10</v>
      </c>
      <c r="U35" s="6">
        <v>270</v>
      </c>
      <c r="V35" s="6">
        <v>270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28</v>
      </c>
      <c r="BF35" s="6">
        <v>39</v>
      </c>
      <c r="BG35" s="5">
        <v>7.26</v>
      </c>
      <c r="BH35" s="5">
        <v>5.99</v>
      </c>
      <c r="BI35" s="6">
        <v>9</v>
      </c>
      <c r="BJ35" s="6">
        <v>31</v>
      </c>
      <c r="BK35" s="6">
        <v>30</v>
      </c>
      <c r="BL35" s="6">
        <v>45</v>
      </c>
      <c r="BM35" s="6">
        <v>32</v>
      </c>
      <c r="BN35" s="6">
        <v>34</v>
      </c>
      <c r="BO35" s="6">
        <v>35</v>
      </c>
      <c r="BP35" s="6">
        <v>32</v>
      </c>
      <c r="BQ35" s="6">
        <v>16</v>
      </c>
      <c r="BR35" s="6">
        <v>-18</v>
      </c>
      <c r="BS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  <c r="BY35" s="6">
        <v>0</v>
      </c>
      <c r="BZ35" s="6">
        <v>0</v>
      </c>
      <c r="CA35" s="6">
        <v>0</v>
      </c>
      <c r="CB35" s="6">
        <v>0</v>
      </c>
      <c r="CC35" s="6">
        <v>0</v>
      </c>
      <c r="CD35" s="6">
        <v>0</v>
      </c>
      <c r="CE35" s="6">
        <v>0</v>
      </c>
      <c r="CF35" s="6">
        <v>0</v>
      </c>
      <c r="CG35" s="6">
        <v>0</v>
      </c>
      <c r="CH35" s="6">
        <v>0</v>
      </c>
    </row>
    <row r="36" spans="1:86" ht="18.75" customHeight="1">
      <c r="A36" s="1" t="s">
        <v>53</v>
      </c>
      <c r="B36" s="1" t="s">
        <v>78</v>
      </c>
      <c r="C36" s="6">
        <v>19</v>
      </c>
      <c r="D36" s="6">
        <v>171</v>
      </c>
      <c r="E36" s="6">
        <v>61</v>
      </c>
      <c r="F36" s="6">
        <v>0</v>
      </c>
      <c r="G36" s="1" t="s">
        <v>87</v>
      </c>
      <c r="H36" s="6">
        <v>86</v>
      </c>
      <c r="I36" s="6">
        <v>38</v>
      </c>
      <c r="J36" s="6">
        <v>38</v>
      </c>
      <c r="K36" s="5">
        <v>8.5</v>
      </c>
      <c r="L36" s="5">
        <v>8.5</v>
      </c>
      <c r="M36" s="5">
        <v>5.5</v>
      </c>
      <c r="N36" s="5">
        <v>5.5</v>
      </c>
      <c r="O36" s="6">
        <v>10</v>
      </c>
      <c r="P36" s="6">
        <v>10</v>
      </c>
      <c r="Q36" s="5">
        <v>6.5</v>
      </c>
      <c r="R36" s="5">
        <v>6.5</v>
      </c>
      <c r="S36" s="5">
        <v>9.5</v>
      </c>
      <c r="T36" s="5">
        <v>9.5</v>
      </c>
      <c r="U36" s="6">
        <v>245</v>
      </c>
      <c r="V36" s="6">
        <v>245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25</v>
      </c>
      <c r="BF36" s="6">
        <v>51</v>
      </c>
      <c r="BG36" s="5">
        <v>7.32</v>
      </c>
      <c r="BH36" s="5">
        <v>4.05</v>
      </c>
      <c r="BI36" s="6">
        <v>60</v>
      </c>
      <c r="BJ36" s="6">
        <v>60</v>
      </c>
      <c r="BK36" s="6">
        <v>60</v>
      </c>
      <c r="BL36" s="6">
        <v>60</v>
      </c>
      <c r="BM36" s="6">
        <v>38</v>
      </c>
      <c r="BN36" s="6">
        <v>30</v>
      </c>
      <c r="BO36" s="6">
        <v>34</v>
      </c>
      <c r="BP36" s="6">
        <v>32</v>
      </c>
      <c r="BQ36" s="6">
        <v>13</v>
      </c>
      <c r="BR36" s="6">
        <v>23</v>
      </c>
      <c r="BS36" s="6">
        <v>0</v>
      </c>
      <c r="BT36" s="6">
        <v>0</v>
      </c>
      <c r="BU36" s="6">
        <v>0</v>
      </c>
      <c r="BV36" s="6">
        <v>0</v>
      </c>
      <c r="BW36" s="6">
        <v>0</v>
      </c>
      <c r="BX36" s="6">
        <v>0</v>
      </c>
      <c r="BY36" s="6">
        <v>0</v>
      </c>
      <c r="BZ36" s="6">
        <v>0</v>
      </c>
      <c r="CA36" s="6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6">
        <v>0</v>
      </c>
    </row>
    <row r="37" spans="1:86" ht="18.75" customHeight="1">
      <c r="A37" s="1" t="s">
        <v>52</v>
      </c>
      <c r="B37" s="1" t="s">
        <v>79</v>
      </c>
      <c r="C37" s="6">
        <v>24</v>
      </c>
      <c r="D37" s="6">
        <v>183</v>
      </c>
      <c r="E37" s="6">
        <v>99</v>
      </c>
      <c r="F37" s="6">
        <v>0</v>
      </c>
      <c r="G37" s="1" t="s">
        <v>88</v>
      </c>
      <c r="H37" s="6">
        <v>95</v>
      </c>
      <c r="I37" s="6">
        <v>62</v>
      </c>
      <c r="J37" s="6">
        <v>62</v>
      </c>
      <c r="K37" s="5">
        <v>10.5</v>
      </c>
      <c r="L37" s="5">
        <v>10.5</v>
      </c>
      <c r="M37" s="5">
        <v>6.5</v>
      </c>
      <c r="N37" s="5">
        <v>6.5</v>
      </c>
      <c r="O37" s="6">
        <v>12</v>
      </c>
      <c r="P37" s="6">
        <v>12</v>
      </c>
      <c r="Q37" s="6">
        <v>8</v>
      </c>
      <c r="R37" s="6">
        <v>8</v>
      </c>
      <c r="S37" s="5">
        <v>10.5</v>
      </c>
      <c r="T37" s="5">
        <v>10.5</v>
      </c>
      <c r="U37" s="6">
        <v>275</v>
      </c>
      <c r="V37" s="6">
        <v>275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0</v>
      </c>
      <c r="BC37" s="6">
        <v>0</v>
      </c>
      <c r="BD37" s="6">
        <v>0</v>
      </c>
      <c r="BE37" s="6">
        <v>26</v>
      </c>
      <c r="BF37" s="6">
        <v>44</v>
      </c>
      <c r="BG37" s="5">
        <v>8.8000000000000007</v>
      </c>
      <c r="BH37" s="5">
        <v>5.0999999999999996</v>
      </c>
      <c r="BI37" s="6">
        <v>60</v>
      </c>
      <c r="BJ37" s="6">
        <v>60</v>
      </c>
      <c r="BK37" s="6">
        <v>60</v>
      </c>
      <c r="BL37" s="6">
        <v>60</v>
      </c>
      <c r="BM37" s="6">
        <v>58</v>
      </c>
      <c r="BN37" s="6">
        <v>58</v>
      </c>
      <c r="BO37" s="6">
        <v>58</v>
      </c>
      <c r="BP37" s="6">
        <v>58</v>
      </c>
      <c r="BQ37" s="6">
        <v>22</v>
      </c>
      <c r="BR37" s="6">
        <v>2</v>
      </c>
      <c r="BS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  <c r="BY37" s="6">
        <v>0</v>
      </c>
      <c r="BZ37" s="6">
        <v>0</v>
      </c>
      <c r="CA37" s="6">
        <v>0</v>
      </c>
      <c r="CB37" s="6">
        <v>0</v>
      </c>
      <c r="CC37" s="6">
        <v>0</v>
      </c>
      <c r="CD37" s="6">
        <v>0</v>
      </c>
      <c r="CE37" s="6">
        <v>0</v>
      </c>
      <c r="CF37" s="6">
        <v>0</v>
      </c>
      <c r="CG37" s="6">
        <v>0</v>
      </c>
      <c r="CH37" s="6">
        <v>0</v>
      </c>
    </row>
    <row r="38" spans="1:86" ht="18.75" customHeight="1">
      <c r="A38" s="1" t="s">
        <v>41</v>
      </c>
      <c r="B38" s="1" t="s">
        <v>78</v>
      </c>
      <c r="C38" s="6">
        <v>18</v>
      </c>
      <c r="D38" s="6">
        <v>160</v>
      </c>
      <c r="E38" s="6">
        <v>53</v>
      </c>
      <c r="F38" s="6">
        <v>0</v>
      </c>
      <c r="G38" s="1" t="s">
        <v>87</v>
      </c>
      <c r="H38" s="6">
        <v>86</v>
      </c>
      <c r="I38" s="6">
        <v>39</v>
      </c>
      <c r="J38" s="6">
        <v>39</v>
      </c>
      <c r="K38" s="6">
        <v>8</v>
      </c>
      <c r="L38" s="6">
        <v>8</v>
      </c>
      <c r="M38" s="5">
        <v>5.5</v>
      </c>
      <c r="N38" s="5">
        <v>5.5</v>
      </c>
      <c r="O38" s="6">
        <v>9</v>
      </c>
      <c r="P38" s="6">
        <v>9</v>
      </c>
      <c r="Q38" s="5">
        <v>6.5</v>
      </c>
      <c r="R38" s="5">
        <v>6.5</v>
      </c>
      <c r="S38" s="5">
        <v>8.5</v>
      </c>
      <c r="T38" s="5">
        <v>8.5</v>
      </c>
      <c r="U38" s="6">
        <v>240</v>
      </c>
      <c r="V38" s="6">
        <v>240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16</v>
      </c>
      <c r="BF38" s="6">
        <v>23</v>
      </c>
      <c r="BG38" s="5">
        <v>7.14</v>
      </c>
      <c r="BH38" s="5">
        <v>4.67</v>
      </c>
      <c r="BI38" s="6">
        <v>60</v>
      </c>
      <c r="BJ38" s="6">
        <v>60</v>
      </c>
      <c r="BK38" s="6">
        <v>60</v>
      </c>
      <c r="BL38" s="6">
        <v>60</v>
      </c>
      <c r="BM38" s="6">
        <v>30</v>
      </c>
      <c r="BN38" s="6">
        <v>24</v>
      </c>
      <c r="BO38" s="6">
        <v>30</v>
      </c>
      <c r="BP38" s="6">
        <v>22</v>
      </c>
      <c r="BQ38" s="6">
        <v>0</v>
      </c>
      <c r="BR38" s="6">
        <v>16</v>
      </c>
      <c r="BS38" s="6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6">
        <v>0</v>
      </c>
      <c r="CA38" s="6">
        <v>0</v>
      </c>
      <c r="CB38" s="6">
        <v>0</v>
      </c>
      <c r="CC38" s="6">
        <v>0</v>
      </c>
      <c r="CD38" s="6">
        <v>0</v>
      </c>
      <c r="CE38" s="6">
        <v>0</v>
      </c>
      <c r="CF38" s="6">
        <v>0</v>
      </c>
      <c r="CG38" s="6">
        <v>0</v>
      </c>
      <c r="CH38" s="6">
        <v>0</v>
      </c>
    </row>
    <row r="39" spans="1:86" ht="18.75" customHeight="1">
      <c r="A39" s="1" t="s">
        <v>51</v>
      </c>
      <c r="B39" s="1" t="s">
        <v>78</v>
      </c>
      <c r="C39" s="6">
        <v>19</v>
      </c>
      <c r="D39" s="6">
        <v>153</v>
      </c>
      <c r="E39" s="6">
        <v>49</v>
      </c>
      <c r="F39" s="6">
        <v>0</v>
      </c>
      <c r="G39" s="1" t="s">
        <v>87</v>
      </c>
      <c r="H39" s="6">
        <v>76</v>
      </c>
      <c r="I39" s="6">
        <v>43</v>
      </c>
      <c r="J39" s="6">
        <v>43</v>
      </c>
      <c r="K39" s="6">
        <v>7</v>
      </c>
      <c r="L39" s="6">
        <v>7</v>
      </c>
      <c r="M39" s="6">
        <v>5</v>
      </c>
      <c r="N39" s="6">
        <v>5</v>
      </c>
      <c r="O39" s="6">
        <v>9</v>
      </c>
      <c r="P39" s="6">
        <v>9</v>
      </c>
      <c r="Q39" s="6">
        <v>6</v>
      </c>
      <c r="R39" s="6">
        <v>6</v>
      </c>
      <c r="S39" s="6">
        <v>9</v>
      </c>
      <c r="T39" s="6">
        <v>9</v>
      </c>
      <c r="U39" s="6">
        <v>220</v>
      </c>
      <c r="V39" s="6">
        <v>220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19</v>
      </c>
      <c r="BF39" s="6">
        <v>37</v>
      </c>
      <c r="BG39" s="5">
        <v>8.74</v>
      </c>
      <c r="BH39" s="5">
        <v>6.27</v>
      </c>
      <c r="BI39" s="6">
        <v>47</v>
      </c>
      <c r="BJ39" s="6">
        <v>60</v>
      </c>
      <c r="BK39" s="6">
        <v>60</v>
      </c>
      <c r="BL39" s="6">
        <v>60</v>
      </c>
      <c r="BM39" s="6">
        <v>30</v>
      </c>
      <c r="BN39" s="6">
        <v>24</v>
      </c>
      <c r="BO39" s="6">
        <v>28</v>
      </c>
      <c r="BP39" s="6">
        <v>20</v>
      </c>
      <c r="BQ39" s="6">
        <v>15</v>
      </c>
      <c r="BR39" s="6">
        <v>21</v>
      </c>
      <c r="BS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6">
        <v>0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</row>
    <row r="40" spans="1:86" ht="18.75" customHeight="1">
      <c r="A40" s="1" t="s">
        <v>50</v>
      </c>
      <c r="B40" s="1" t="s">
        <v>78</v>
      </c>
      <c r="C40" s="6">
        <v>20</v>
      </c>
      <c r="D40" s="6">
        <v>160</v>
      </c>
      <c r="E40" s="6">
        <v>52</v>
      </c>
      <c r="F40" s="6">
        <v>0</v>
      </c>
      <c r="G40" s="1" t="s">
        <v>87</v>
      </c>
      <c r="H40" s="6">
        <v>86</v>
      </c>
      <c r="I40" s="6">
        <v>42</v>
      </c>
      <c r="J40" s="6">
        <v>42</v>
      </c>
      <c r="K40" s="5">
        <v>7.5</v>
      </c>
      <c r="L40" s="5">
        <v>7.5</v>
      </c>
      <c r="M40" s="6">
        <v>5</v>
      </c>
      <c r="N40" s="6">
        <v>5</v>
      </c>
      <c r="O40" s="5">
        <v>9.5</v>
      </c>
      <c r="P40" s="5">
        <v>9.5</v>
      </c>
      <c r="Q40" s="6">
        <v>6</v>
      </c>
      <c r="R40" s="6">
        <v>6</v>
      </c>
      <c r="S40" s="6">
        <v>9</v>
      </c>
      <c r="T40" s="6">
        <v>9</v>
      </c>
      <c r="U40" s="6">
        <v>240</v>
      </c>
      <c r="V40" s="6">
        <v>240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19</v>
      </c>
      <c r="BF40" s="6">
        <v>37</v>
      </c>
      <c r="BG40" s="5">
        <v>11.21</v>
      </c>
      <c r="BH40" s="5">
        <v>5.52</v>
      </c>
      <c r="BI40" s="6">
        <v>60</v>
      </c>
      <c r="BJ40" s="6">
        <v>60</v>
      </c>
      <c r="BK40" s="6">
        <v>60</v>
      </c>
      <c r="BL40" s="6">
        <v>60</v>
      </c>
      <c r="BM40" s="6">
        <v>38</v>
      </c>
      <c r="BN40" s="6">
        <v>35</v>
      </c>
      <c r="BO40" s="6">
        <v>32</v>
      </c>
      <c r="BP40" s="6">
        <v>32</v>
      </c>
      <c r="BQ40" s="6">
        <v>8</v>
      </c>
      <c r="BR40" s="6">
        <v>15</v>
      </c>
      <c r="BS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6">
        <v>0</v>
      </c>
      <c r="CA40" s="6">
        <v>0</v>
      </c>
      <c r="CB40" s="6">
        <v>0</v>
      </c>
      <c r="CC40" s="6">
        <v>0</v>
      </c>
      <c r="CD40" s="6">
        <v>0</v>
      </c>
      <c r="CE40" s="6">
        <v>0</v>
      </c>
      <c r="CF40" s="6">
        <v>0</v>
      </c>
      <c r="CG40" s="6">
        <v>0</v>
      </c>
      <c r="CH40" s="6">
        <v>0</v>
      </c>
    </row>
    <row r="41" spans="1:86" ht="18.75" customHeight="1">
      <c r="A41" s="1" t="s">
        <v>49</v>
      </c>
      <c r="B41" s="1" t="s">
        <v>79</v>
      </c>
      <c r="C41" s="6">
        <v>18</v>
      </c>
      <c r="D41" s="5">
        <v>170.8</v>
      </c>
      <c r="E41" s="6">
        <v>68</v>
      </c>
      <c r="F41" s="6">
        <v>0</v>
      </c>
      <c r="G41" s="1" t="s">
        <v>87</v>
      </c>
      <c r="H41" s="6">
        <v>87</v>
      </c>
      <c r="I41" s="6">
        <v>47</v>
      </c>
      <c r="J41" s="6">
        <v>47</v>
      </c>
      <c r="K41" s="6">
        <v>9</v>
      </c>
      <c r="L41" s="6">
        <v>9</v>
      </c>
      <c r="M41" s="5">
        <v>5.5</v>
      </c>
      <c r="N41" s="5">
        <v>5.5</v>
      </c>
      <c r="O41" s="6">
        <v>11</v>
      </c>
      <c r="P41" s="6">
        <v>11</v>
      </c>
      <c r="Q41" s="5">
        <v>7.5</v>
      </c>
      <c r="R41" s="5">
        <v>7.5</v>
      </c>
      <c r="S41" s="5">
        <v>9.5</v>
      </c>
      <c r="T41" s="5">
        <v>9.5</v>
      </c>
      <c r="U41" s="6">
        <v>255</v>
      </c>
      <c r="V41" s="6">
        <v>255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18</v>
      </c>
      <c r="BF41" s="6">
        <v>35</v>
      </c>
      <c r="BG41" s="5">
        <v>7.66</v>
      </c>
      <c r="BH41" s="5">
        <v>5.53</v>
      </c>
      <c r="BI41" s="6">
        <v>60</v>
      </c>
      <c r="BJ41" s="6">
        <v>60</v>
      </c>
      <c r="BK41" s="6">
        <v>60</v>
      </c>
      <c r="BL41" s="6">
        <v>60</v>
      </c>
      <c r="BM41" s="6">
        <v>46</v>
      </c>
      <c r="BN41" s="6">
        <v>34</v>
      </c>
      <c r="BO41" s="6">
        <v>48</v>
      </c>
      <c r="BP41" s="6">
        <v>35</v>
      </c>
      <c r="BQ41" s="6">
        <v>13</v>
      </c>
      <c r="BR41" s="6">
        <v>20</v>
      </c>
      <c r="BS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6">
        <v>0</v>
      </c>
    </row>
    <row r="42" spans="1:86" ht="18.75" customHeight="1">
      <c r="A42" s="1" t="s">
        <v>48</v>
      </c>
      <c r="B42" s="1" t="s">
        <v>79</v>
      </c>
      <c r="C42" s="6">
        <v>23</v>
      </c>
      <c r="D42" s="6">
        <v>177</v>
      </c>
      <c r="E42" s="6">
        <v>70</v>
      </c>
      <c r="F42" s="6">
        <v>0</v>
      </c>
      <c r="G42" s="1" t="s">
        <v>87</v>
      </c>
      <c r="H42" s="6">
        <v>92</v>
      </c>
      <c r="I42" s="6">
        <v>47</v>
      </c>
      <c r="J42" s="6">
        <v>47</v>
      </c>
      <c r="K42" s="5">
        <v>9.5</v>
      </c>
      <c r="L42" s="5">
        <v>9.5</v>
      </c>
      <c r="M42" s="6">
        <v>6</v>
      </c>
      <c r="N42" s="6">
        <v>6</v>
      </c>
      <c r="O42" s="5">
        <v>8.5</v>
      </c>
      <c r="P42" s="5">
        <v>8.5</v>
      </c>
      <c r="Q42" s="5">
        <v>7.5</v>
      </c>
      <c r="R42" s="5">
        <v>7.5</v>
      </c>
      <c r="S42" s="6">
        <v>10</v>
      </c>
      <c r="T42" s="6">
        <v>10</v>
      </c>
      <c r="U42" s="6">
        <v>275</v>
      </c>
      <c r="V42" s="6">
        <v>275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17</v>
      </c>
      <c r="BF42" s="6">
        <v>39</v>
      </c>
      <c r="BG42" s="5">
        <v>9.3000000000000007</v>
      </c>
      <c r="BH42" s="5">
        <v>4.7</v>
      </c>
      <c r="BI42" s="6">
        <v>60</v>
      </c>
      <c r="BJ42" s="6">
        <v>22</v>
      </c>
      <c r="BK42" s="6">
        <v>60</v>
      </c>
      <c r="BL42" s="6">
        <v>60</v>
      </c>
      <c r="BM42" s="6">
        <v>52</v>
      </c>
      <c r="BN42" s="6">
        <v>53</v>
      </c>
      <c r="BO42" s="6">
        <v>52</v>
      </c>
      <c r="BP42" s="6">
        <v>46</v>
      </c>
      <c r="BQ42" s="6">
        <v>15</v>
      </c>
      <c r="BR42" s="6">
        <v>5</v>
      </c>
      <c r="BS42" s="6">
        <v>0</v>
      </c>
      <c r="BT42" s="6">
        <v>0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">
        <v>0</v>
      </c>
      <c r="CC42" s="6">
        <v>0</v>
      </c>
      <c r="CD42" s="6">
        <v>0</v>
      </c>
      <c r="CE42" s="6">
        <v>0</v>
      </c>
      <c r="CF42" s="6">
        <v>0</v>
      </c>
      <c r="CG42" s="6">
        <v>0</v>
      </c>
      <c r="CH42" s="6">
        <v>0</v>
      </c>
    </row>
    <row r="43" spans="1:86" ht="18.75" customHeight="1">
      <c r="A43" s="1" t="s">
        <v>47</v>
      </c>
      <c r="B43" s="1" t="s">
        <v>79</v>
      </c>
      <c r="C43" s="6">
        <v>23</v>
      </c>
      <c r="D43" s="6">
        <v>172</v>
      </c>
      <c r="E43" s="6">
        <v>63</v>
      </c>
      <c r="F43" s="6">
        <v>0</v>
      </c>
      <c r="G43" s="1" t="s">
        <v>87</v>
      </c>
      <c r="H43" s="6">
        <v>87</v>
      </c>
      <c r="I43" s="6">
        <v>38</v>
      </c>
      <c r="J43" s="6">
        <v>38</v>
      </c>
      <c r="K43" s="6">
        <v>10</v>
      </c>
      <c r="L43" s="6">
        <v>11</v>
      </c>
      <c r="M43" s="6">
        <v>6</v>
      </c>
      <c r="N43" s="6">
        <v>6</v>
      </c>
      <c r="O43" s="6">
        <v>9</v>
      </c>
      <c r="P43" s="6">
        <v>10</v>
      </c>
      <c r="Q43" s="6">
        <v>7</v>
      </c>
      <c r="R43" s="6">
        <v>7</v>
      </c>
      <c r="S43" s="5">
        <v>8.5</v>
      </c>
      <c r="T43" s="5">
        <v>8.5</v>
      </c>
      <c r="U43" s="6">
        <v>260</v>
      </c>
      <c r="V43" s="6">
        <v>260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15</v>
      </c>
      <c r="BF43" s="6">
        <v>19</v>
      </c>
      <c r="BG43" s="5">
        <v>8.01</v>
      </c>
      <c r="BH43" s="5">
        <v>4.47</v>
      </c>
      <c r="BI43" s="6">
        <v>60</v>
      </c>
      <c r="BJ43" s="6">
        <v>60</v>
      </c>
      <c r="BK43" s="6">
        <v>60</v>
      </c>
      <c r="BL43" s="6">
        <v>60</v>
      </c>
      <c r="BM43" s="6">
        <v>50</v>
      </c>
      <c r="BN43" s="6">
        <v>42</v>
      </c>
      <c r="BO43" s="6">
        <v>50</v>
      </c>
      <c r="BP43" s="6">
        <v>41</v>
      </c>
      <c r="BQ43" s="6">
        <v>0</v>
      </c>
      <c r="BR43" s="6">
        <v>7</v>
      </c>
      <c r="BS43" s="6">
        <v>0</v>
      </c>
      <c r="BT43" s="6">
        <v>0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0</v>
      </c>
      <c r="CB43" s="6">
        <v>0</v>
      </c>
      <c r="CC43" s="6">
        <v>0</v>
      </c>
      <c r="CD43" s="6">
        <v>0</v>
      </c>
      <c r="CE43" s="6">
        <v>0</v>
      </c>
      <c r="CF43" s="6">
        <v>0</v>
      </c>
      <c r="CG43" s="6">
        <v>0</v>
      </c>
      <c r="CH43" s="6">
        <v>0</v>
      </c>
    </row>
    <row r="44" spans="1:86" ht="18.75" customHeight="1">
      <c r="A44" s="1" t="s">
        <v>64</v>
      </c>
      <c r="B44" s="1" t="s">
        <v>78</v>
      </c>
      <c r="C44" s="6">
        <v>19</v>
      </c>
      <c r="D44" s="6">
        <v>159</v>
      </c>
      <c r="E44" s="6">
        <v>58</v>
      </c>
      <c r="F44" s="6">
        <v>0</v>
      </c>
      <c r="G44" s="1" t="s">
        <v>87</v>
      </c>
      <c r="H44" s="6">
        <v>84</v>
      </c>
      <c r="I44" s="6">
        <v>30</v>
      </c>
      <c r="J44" s="6">
        <v>30</v>
      </c>
      <c r="K44" s="6">
        <v>9</v>
      </c>
      <c r="L44" s="6">
        <v>9</v>
      </c>
      <c r="M44" s="6">
        <v>6</v>
      </c>
      <c r="N44" s="6">
        <v>6</v>
      </c>
      <c r="O44" s="5">
        <v>10.5</v>
      </c>
      <c r="P44" s="5">
        <v>10.5</v>
      </c>
      <c r="Q44" s="5">
        <v>6.5</v>
      </c>
      <c r="R44" s="5">
        <v>6.5</v>
      </c>
      <c r="S44" s="6">
        <v>10</v>
      </c>
      <c r="T44" s="6">
        <v>10</v>
      </c>
      <c r="U44" s="6">
        <v>245</v>
      </c>
      <c r="V44" s="6">
        <v>245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23</v>
      </c>
      <c r="BF44" s="6">
        <v>40</v>
      </c>
      <c r="BG44" s="5">
        <v>8.74</v>
      </c>
      <c r="BH44" s="5">
        <v>5.59</v>
      </c>
      <c r="BI44" s="6">
        <v>60</v>
      </c>
      <c r="BJ44" s="6">
        <v>60</v>
      </c>
      <c r="BK44" s="6">
        <v>60</v>
      </c>
      <c r="BL44" s="6">
        <v>60</v>
      </c>
      <c r="BM44" s="6">
        <v>32</v>
      </c>
      <c r="BN44" s="6">
        <v>30</v>
      </c>
      <c r="BO44" s="6">
        <v>31</v>
      </c>
      <c r="BP44" s="6">
        <v>30</v>
      </c>
      <c r="BQ44" s="6">
        <v>14</v>
      </c>
      <c r="BR44" s="6">
        <v>12</v>
      </c>
      <c r="BS44" s="6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6">
        <v>0</v>
      </c>
      <c r="CA44" s="6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6">
        <v>0</v>
      </c>
    </row>
    <row r="45" spans="1:86" ht="18.75" customHeight="1">
      <c r="A45" s="1" t="s">
        <v>66</v>
      </c>
      <c r="B45" s="1" t="s">
        <v>79</v>
      </c>
      <c r="C45" s="6">
        <v>23</v>
      </c>
      <c r="D45" s="6">
        <v>179</v>
      </c>
      <c r="E45" s="6">
        <v>69</v>
      </c>
      <c r="F45" s="6">
        <v>0</v>
      </c>
      <c r="G45" s="1" t="s">
        <v>88</v>
      </c>
      <c r="H45" s="6">
        <v>92</v>
      </c>
      <c r="I45" s="6">
        <v>49</v>
      </c>
      <c r="J45" s="6">
        <v>49</v>
      </c>
      <c r="K45" s="5">
        <v>9.5</v>
      </c>
      <c r="L45" s="5">
        <v>9.5</v>
      </c>
      <c r="M45" s="6">
        <v>6</v>
      </c>
      <c r="N45" s="6">
        <v>6</v>
      </c>
      <c r="O45" s="6">
        <v>10</v>
      </c>
      <c r="P45" s="6">
        <v>10</v>
      </c>
      <c r="Q45" s="6">
        <v>7</v>
      </c>
      <c r="R45" s="6">
        <v>7</v>
      </c>
      <c r="S45" s="5">
        <v>10.5</v>
      </c>
      <c r="T45" s="5">
        <v>10.5</v>
      </c>
      <c r="U45" s="6">
        <v>260</v>
      </c>
      <c r="V45" s="6">
        <v>260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15</v>
      </c>
      <c r="BF45" s="6">
        <v>39</v>
      </c>
      <c r="BG45" s="5">
        <v>8.25</v>
      </c>
      <c r="BH45" s="5">
        <v>6.12</v>
      </c>
      <c r="BI45" s="6">
        <v>60</v>
      </c>
      <c r="BJ45" s="6">
        <v>60</v>
      </c>
      <c r="BK45" s="6">
        <v>60</v>
      </c>
      <c r="BL45" s="6">
        <v>60</v>
      </c>
      <c r="BM45" s="6">
        <v>52</v>
      </c>
      <c r="BN45" s="6">
        <v>46</v>
      </c>
      <c r="BO45" s="6">
        <v>48</v>
      </c>
      <c r="BP45" s="6">
        <v>49</v>
      </c>
      <c r="BQ45" s="6">
        <v>17</v>
      </c>
      <c r="BR45" s="6">
        <v>4</v>
      </c>
      <c r="BS45" s="4" t="s">
        <v>156</v>
      </c>
      <c r="BT45" s="6">
        <v>0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6">
        <v>0</v>
      </c>
      <c r="CC45" s="6">
        <v>0</v>
      </c>
      <c r="CD45" s="6">
        <v>0</v>
      </c>
      <c r="CE45" s="6">
        <v>0</v>
      </c>
      <c r="CF45" s="6">
        <v>0</v>
      </c>
      <c r="CG45" s="6">
        <v>0</v>
      </c>
      <c r="CH45" s="6">
        <v>0</v>
      </c>
    </row>
    <row r="46" spans="1:86" ht="18.75" customHeight="1">
      <c r="A46" s="1" t="s">
        <v>63</v>
      </c>
      <c r="B46" s="1" t="s">
        <v>78</v>
      </c>
      <c r="C46" s="6">
        <v>21</v>
      </c>
      <c r="D46" s="6">
        <v>162</v>
      </c>
      <c r="E46" s="6">
        <v>63</v>
      </c>
      <c r="F46" s="6">
        <v>0</v>
      </c>
      <c r="G46" s="1" t="s">
        <v>88</v>
      </c>
      <c r="H46" s="6">
        <v>84</v>
      </c>
      <c r="I46" s="6">
        <v>42</v>
      </c>
      <c r="J46" s="6">
        <v>42</v>
      </c>
      <c r="K46" s="6">
        <v>9</v>
      </c>
      <c r="L46" s="6">
        <v>9</v>
      </c>
      <c r="M46" s="5">
        <v>5.5</v>
      </c>
      <c r="N46" s="5">
        <v>5.5</v>
      </c>
      <c r="O46" s="6">
        <v>10</v>
      </c>
      <c r="P46" s="6">
        <v>10</v>
      </c>
      <c r="Q46" s="5">
        <v>6.5</v>
      </c>
      <c r="R46" s="5">
        <v>6.5</v>
      </c>
      <c r="S46" s="6">
        <v>9</v>
      </c>
      <c r="T46" s="6">
        <v>9</v>
      </c>
      <c r="U46" s="6">
        <v>245</v>
      </c>
      <c r="V46" s="6">
        <v>245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12</v>
      </c>
      <c r="BF46" s="6">
        <v>31</v>
      </c>
      <c r="BG46" s="5">
        <v>7.52</v>
      </c>
      <c r="BH46" s="5">
        <v>5.35</v>
      </c>
      <c r="BI46" s="6">
        <v>60</v>
      </c>
      <c r="BJ46" s="6">
        <v>60</v>
      </c>
      <c r="BK46" s="6">
        <v>60</v>
      </c>
      <c r="BL46" s="6">
        <v>60</v>
      </c>
      <c r="BM46" s="6">
        <v>34</v>
      </c>
      <c r="BN46" s="6">
        <v>30</v>
      </c>
      <c r="BO46" s="6">
        <v>34</v>
      </c>
      <c r="BP46" s="6">
        <v>30</v>
      </c>
      <c r="BQ46" s="6">
        <v>10</v>
      </c>
      <c r="BR46" s="6">
        <v>-6</v>
      </c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0</v>
      </c>
      <c r="CB46" s="6">
        <v>0</v>
      </c>
      <c r="CC46" s="6">
        <v>0</v>
      </c>
      <c r="CD46" s="6">
        <v>0</v>
      </c>
      <c r="CE46" s="6">
        <v>0</v>
      </c>
      <c r="CF46" s="6">
        <v>0</v>
      </c>
      <c r="CG46" s="6">
        <v>0</v>
      </c>
      <c r="CH46" s="6">
        <v>0</v>
      </c>
    </row>
    <row r="47" spans="1:86" ht="18.75" customHeight="1">
      <c r="A47" s="1" t="s">
        <v>62</v>
      </c>
      <c r="B47" s="1" t="s">
        <v>79</v>
      </c>
      <c r="C47" s="6">
        <v>23</v>
      </c>
      <c r="D47" s="6">
        <v>170</v>
      </c>
      <c r="E47" s="6">
        <v>80</v>
      </c>
      <c r="F47" s="6">
        <v>0</v>
      </c>
      <c r="G47" s="1" t="s">
        <v>87</v>
      </c>
      <c r="H47" s="6">
        <v>85</v>
      </c>
      <c r="I47" s="6">
        <v>50</v>
      </c>
      <c r="J47" s="6">
        <v>50</v>
      </c>
      <c r="K47" s="6">
        <v>10</v>
      </c>
      <c r="L47" s="6">
        <v>10</v>
      </c>
      <c r="M47" s="6">
        <v>6</v>
      </c>
      <c r="N47" s="6">
        <v>6</v>
      </c>
      <c r="O47" s="5">
        <v>10.5</v>
      </c>
      <c r="P47" s="5">
        <v>10.5</v>
      </c>
      <c r="Q47" s="5">
        <v>7.5</v>
      </c>
      <c r="R47" s="5">
        <v>7.5</v>
      </c>
      <c r="S47" s="6">
        <v>10</v>
      </c>
      <c r="T47" s="6">
        <v>10</v>
      </c>
      <c r="U47" s="6">
        <v>265</v>
      </c>
      <c r="V47" s="6">
        <v>265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23</v>
      </c>
      <c r="BF47" s="6">
        <v>33</v>
      </c>
      <c r="BG47" s="5">
        <v>8.4</v>
      </c>
      <c r="BH47" s="5">
        <v>6.9</v>
      </c>
      <c r="BI47" s="6">
        <v>60</v>
      </c>
      <c r="BJ47" s="6">
        <v>60</v>
      </c>
      <c r="BK47" s="6">
        <v>60</v>
      </c>
      <c r="BL47" s="6">
        <v>60</v>
      </c>
      <c r="BM47" s="6">
        <v>54</v>
      </c>
      <c r="BN47" s="6">
        <v>42</v>
      </c>
      <c r="BO47" s="6">
        <v>58</v>
      </c>
      <c r="BP47" s="6">
        <v>50</v>
      </c>
      <c r="BQ47" s="6">
        <v>12</v>
      </c>
      <c r="BR47" s="6">
        <v>7</v>
      </c>
      <c r="BS47" s="4" t="s">
        <v>157</v>
      </c>
      <c r="BT47" s="6">
        <v>0</v>
      </c>
      <c r="BU47" s="6">
        <v>0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6">
        <v>0</v>
      </c>
      <c r="CC47" s="6">
        <v>0</v>
      </c>
      <c r="CD47" s="6">
        <v>0</v>
      </c>
      <c r="CE47" s="6">
        <v>0</v>
      </c>
      <c r="CF47" s="6">
        <v>0</v>
      </c>
      <c r="CG47" s="6">
        <v>0</v>
      </c>
      <c r="CH47" s="6">
        <v>0</v>
      </c>
    </row>
    <row r="48" spans="1:86" ht="18.75" customHeight="1">
      <c r="A48" s="1" t="s">
        <v>61</v>
      </c>
      <c r="B48" s="1" t="s">
        <v>78</v>
      </c>
      <c r="C48" s="6">
        <v>19</v>
      </c>
      <c r="D48" s="6">
        <v>161</v>
      </c>
      <c r="E48" s="6">
        <v>57</v>
      </c>
      <c r="F48" s="6">
        <v>0</v>
      </c>
      <c r="G48" s="1" t="s">
        <v>87</v>
      </c>
      <c r="H48" s="6">
        <v>84</v>
      </c>
      <c r="I48" s="6">
        <v>41</v>
      </c>
      <c r="J48" s="6">
        <v>41</v>
      </c>
      <c r="K48" s="6">
        <v>9</v>
      </c>
      <c r="L48" s="6">
        <v>9</v>
      </c>
      <c r="M48" s="6">
        <v>6</v>
      </c>
      <c r="N48" s="6">
        <v>6</v>
      </c>
      <c r="O48" s="5">
        <v>10.5</v>
      </c>
      <c r="P48" s="5">
        <v>10.5</v>
      </c>
      <c r="Q48" s="5">
        <v>6.5</v>
      </c>
      <c r="R48" s="5">
        <v>6.5</v>
      </c>
      <c r="S48" s="5">
        <v>9.5</v>
      </c>
      <c r="T48" s="5">
        <v>9.5</v>
      </c>
      <c r="U48" s="6">
        <v>245</v>
      </c>
      <c r="V48" s="6">
        <v>245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0</v>
      </c>
      <c r="BC48" s="6">
        <v>0</v>
      </c>
      <c r="BD48" s="6">
        <v>0</v>
      </c>
      <c r="BE48" s="6">
        <v>20</v>
      </c>
      <c r="BF48" s="6">
        <v>32</v>
      </c>
      <c r="BG48" s="5">
        <v>8.32</v>
      </c>
      <c r="BH48" s="5">
        <v>5.34</v>
      </c>
      <c r="BI48" s="6">
        <v>60</v>
      </c>
      <c r="BJ48" s="6">
        <v>60</v>
      </c>
      <c r="BK48" s="6">
        <v>60</v>
      </c>
      <c r="BL48" s="6">
        <v>60</v>
      </c>
      <c r="BM48" s="6">
        <v>34</v>
      </c>
      <c r="BN48" s="6">
        <v>36</v>
      </c>
      <c r="BO48" s="6">
        <v>34</v>
      </c>
      <c r="BP48" s="6">
        <v>34</v>
      </c>
      <c r="BQ48" s="6">
        <v>21</v>
      </c>
      <c r="BR48" s="6">
        <v>22</v>
      </c>
      <c r="BS48" s="4" t="s">
        <v>158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0</v>
      </c>
      <c r="BZ48" s="6">
        <v>0</v>
      </c>
      <c r="CA48" s="6">
        <v>0</v>
      </c>
      <c r="CB48" s="6">
        <v>0</v>
      </c>
      <c r="CC48" s="6">
        <v>0</v>
      </c>
      <c r="CD48" s="6">
        <v>0</v>
      </c>
      <c r="CE48" s="6">
        <v>0</v>
      </c>
      <c r="CF48" s="6">
        <v>0</v>
      </c>
      <c r="CG48" s="6">
        <v>0</v>
      </c>
      <c r="CH48" s="6">
        <v>0</v>
      </c>
    </row>
    <row r="49" spans="1:86" ht="18.75" customHeight="1">
      <c r="A49" s="1" t="s">
        <v>60</v>
      </c>
      <c r="B49" s="1" t="s">
        <v>79</v>
      </c>
      <c r="C49" s="6">
        <v>23</v>
      </c>
      <c r="D49" s="6">
        <v>169</v>
      </c>
      <c r="E49" s="6">
        <v>71</v>
      </c>
      <c r="F49" s="6">
        <v>0</v>
      </c>
      <c r="G49" s="1" t="s">
        <v>87</v>
      </c>
      <c r="H49" s="6">
        <v>85</v>
      </c>
      <c r="I49" s="6">
        <v>50</v>
      </c>
      <c r="J49" s="6">
        <v>50</v>
      </c>
      <c r="K49" s="6">
        <v>9</v>
      </c>
      <c r="L49" s="6">
        <v>9</v>
      </c>
      <c r="M49" s="6">
        <v>6</v>
      </c>
      <c r="N49" s="6">
        <v>6</v>
      </c>
      <c r="O49" s="6">
        <v>11</v>
      </c>
      <c r="P49" s="6">
        <v>11</v>
      </c>
      <c r="Q49" s="5">
        <v>6.5</v>
      </c>
      <c r="R49" s="5">
        <v>6.5</v>
      </c>
      <c r="S49" s="5">
        <v>9.5</v>
      </c>
      <c r="T49" s="5">
        <v>9.5</v>
      </c>
      <c r="U49" s="6">
        <v>255</v>
      </c>
      <c r="V49" s="6">
        <v>255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22</v>
      </c>
      <c r="BF49" s="6">
        <v>42</v>
      </c>
      <c r="BG49" s="5">
        <v>8.5299999999999994</v>
      </c>
      <c r="BH49" s="5">
        <v>5.53</v>
      </c>
      <c r="BI49" s="6">
        <v>60</v>
      </c>
      <c r="BJ49" s="6">
        <v>60</v>
      </c>
      <c r="BK49" s="6">
        <v>60</v>
      </c>
      <c r="BL49" s="6">
        <v>60</v>
      </c>
      <c r="BM49" s="6">
        <v>45</v>
      </c>
      <c r="BN49" s="6">
        <v>46</v>
      </c>
      <c r="BO49" s="6">
        <v>44</v>
      </c>
      <c r="BP49" s="6">
        <v>46</v>
      </c>
      <c r="BQ49" s="6">
        <v>20</v>
      </c>
      <c r="BR49" s="6">
        <v>9</v>
      </c>
      <c r="BS49" s="4" t="s">
        <v>159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6">
        <v>0</v>
      </c>
      <c r="CA49" s="6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6">
        <v>0</v>
      </c>
    </row>
    <row r="50" spans="1:86" ht="18.75" customHeight="1">
      <c r="A50" s="1" t="s">
        <v>59</v>
      </c>
      <c r="B50" s="1" t="s">
        <v>79</v>
      </c>
      <c r="C50" s="6">
        <v>23</v>
      </c>
      <c r="D50" s="6">
        <v>165</v>
      </c>
      <c r="E50" s="6">
        <v>68</v>
      </c>
      <c r="F50" s="6">
        <v>0</v>
      </c>
      <c r="G50" s="1" t="s">
        <v>87</v>
      </c>
      <c r="H50" s="6">
        <v>78</v>
      </c>
      <c r="I50" s="6">
        <v>47</v>
      </c>
      <c r="J50" s="6">
        <v>47</v>
      </c>
      <c r="K50" s="6">
        <v>9</v>
      </c>
      <c r="L50" s="6">
        <v>9</v>
      </c>
      <c r="M50" s="6">
        <v>6</v>
      </c>
      <c r="N50" s="6">
        <v>6</v>
      </c>
      <c r="O50" s="5">
        <v>11.5</v>
      </c>
      <c r="P50" s="5">
        <v>11.5</v>
      </c>
      <c r="Q50" s="5">
        <v>6.5</v>
      </c>
      <c r="R50" s="5">
        <v>6.5</v>
      </c>
      <c r="S50" s="5">
        <v>9.5</v>
      </c>
      <c r="T50" s="5">
        <v>9.5</v>
      </c>
      <c r="U50" s="6">
        <v>240</v>
      </c>
      <c r="V50" s="6">
        <v>240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19</v>
      </c>
      <c r="BF50" s="6">
        <v>25</v>
      </c>
      <c r="BG50" s="5">
        <v>7.68</v>
      </c>
      <c r="BH50" s="5">
        <v>5.08</v>
      </c>
      <c r="BI50" s="6">
        <v>60</v>
      </c>
      <c r="BJ50" s="6">
        <v>60</v>
      </c>
      <c r="BK50" s="6">
        <v>60</v>
      </c>
      <c r="BL50" s="6">
        <v>60</v>
      </c>
      <c r="BM50" s="6">
        <v>38</v>
      </c>
      <c r="BN50" s="6">
        <v>32</v>
      </c>
      <c r="BO50" s="6">
        <v>40</v>
      </c>
      <c r="BP50" s="6">
        <v>30</v>
      </c>
      <c r="BQ50" s="6">
        <v>12</v>
      </c>
      <c r="BR50" s="6">
        <v>15</v>
      </c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6">
        <v>0</v>
      </c>
      <c r="CC50" s="6">
        <v>0</v>
      </c>
      <c r="CD50" s="6">
        <v>0</v>
      </c>
      <c r="CE50" s="6">
        <v>0</v>
      </c>
      <c r="CF50" s="6">
        <v>0</v>
      </c>
      <c r="CG50" s="6">
        <v>0</v>
      </c>
      <c r="CH50" s="6">
        <v>0</v>
      </c>
    </row>
    <row r="51" spans="1:86" ht="18.75" customHeight="1">
      <c r="A51" s="1" t="s">
        <v>58</v>
      </c>
      <c r="B51" s="1" t="s">
        <v>79</v>
      </c>
      <c r="C51" s="6">
        <v>23</v>
      </c>
      <c r="D51" s="6">
        <v>177</v>
      </c>
      <c r="E51" s="6">
        <v>80</v>
      </c>
      <c r="F51" s="6">
        <v>0</v>
      </c>
      <c r="G51" s="1" t="s">
        <v>87</v>
      </c>
      <c r="H51" s="6">
        <v>93</v>
      </c>
      <c r="I51" s="6">
        <v>40</v>
      </c>
      <c r="J51" s="6">
        <v>40</v>
      </c>
      <c r="K51" s="5">
        <v>10.5</v>
      </c>
      <c r="L51" s="5">
        <v>10.5</v>
      </c>
      <c r="M51" s="5">
        <v>6.5</v>
      </c>
      <c r="N51" s="5">
        <v>6.5</v>
      </c>
      <c r="O51" s="5">
        <v>11.5</v>
      </c>
      <c r="P51" s="5">
        <v>11.5</v>
      </c>
      <c r="Q51" s="5">
        <v>7.5</v>
      </c>
      <c r="R51" s="5">
        <v>7.5</v>
      </c>
      <c r="S51" s="5">
        <v>10.5</v>
      </c>
      <c r="T51" s="5">
        <v>10.5</v>
      </c>
      <c r="U51" s="6">
        <v>280</v>
      </c>
      <c r="V51" s="6">
        <v>280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26</v>
      </c>
      <c r="BF51" s="6">
        <v>46</v>
      </c>
      <c r="BG51" s="5">
        <v>8.36</v>
      </c>
      <c r="BH51" s="5">
        <v>5.76</v>
      </c>
      <c r="BI51" s="6">
        <v>60</v>
      </c>
      <c r="BJ51" s="6">
        <v>52</v>
      </c>
      <c r="BK51" s="6">
        <v>60</v>
      </c>
      <c r="BL51" s="6">
        <v>60</v>
      </c>
      <c r="BM51" s="6">
        <v>0</v>
      </c>
      <c r="BN51" s="6">
        <v>0</v>
      </c>
      <c r="BO51" s="6">
        <v>0</v>
      </c>
      <c r="BP51" s="6">
        <v>0</v>
      </c>
      <c r="BQ51" s="6">
        <v>13</v>
      </c>
      <c r="BR51" s="6">
        <v>3</v>
      </c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0</v>
      </c>
      <c r="BZ51" s="6">
        <v>0</v>
      </c>
      <c r="CA51" s="6">
        <v>0</v>
      </c>
      <c r="CB51" s="6">
        <v>0</v>
      </c>
      <c r="CC51" s="6">
        <v>0</v>
      </c>
      <c r="CD51" s="6">
        <v>0</v>
      </c>
      <c r="CE51" s="6">
        <v>0</v>
      </c>
      <c r="CF51" s="6">
        <v>0</v>
      </c>
      <c r="CG51" s="6">
        <v>0</v>
      </c>
      <c r="CH51" s="6">
        <v>0</v>
      </c>
    </row>
    <row r="52" spans="1:86" ht="18.75" customHeight="1">
      <c r="A52" s="1" t="s">
        <v>57</v>
      </c>
      <c r="B52" s="1" t="s">
        <v>78</v>
      </c>
      <c r="C52" s="6">
        <v>20</v>
      </c>
      <c r="D52" s="5">
        <v>164.6</v>
      </c>
      <c r="E52" s="6">
        <v>62</v>
      </c>
      <c r="F52" s="6">
        <v>0</v>
      </c>
      <c r="G52" s="1" t="s">
        <v>87</v>
      </c>
      <c r="H52" s="6">
        <v>86</v>
      </c>
      <c r="I52" s="6">
        <v>37</v>
      </c>
      <c r="J52" s="6">
        <v>37</v>
      </c>
      <c r="K52" s="5">
        <v>7.4</v>
      </c>
      <c r="L52" s="5">
        <v>7.7</v>
      </c>
      <c r="M52" s="6">
        <v>5</v>
      </c>
      <c r="N52" s="5">
        <v>5.0999999999999996</v>
      </c>
      <c r="O52" s="5">
        <v>10.6</v>
      </c>
      <c r="P52" s="5">
        <v>10.4</v>
      </c>
      <c r="Q52" s="5">
        <v>6.5</v>
      </c>
      <c r="R52" s="5">
        <v>6.6</v>
      </c>
      <c r="S52" s="5">
        <v>8.6999999999999993</v>
      </c>
      <c r="T52" s="5">
        <v>8.4</v>
      </c>
      <c r="U52" s="6">
        <v>245</v>
      </c>
      <c r="V52" s="6">
        <v>245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6</v>
      </c>
      <c r="BF52" s="6">
        <v>37</v>
      </c>
      <c r="BG52" s="5">
        <v>8.35</v>
      </c>
      <c r="BH52" s="5">
        <v>5.45</v>
      </c>
      <c r="BI52" s="6">
        <v>28</v>
      </c>
      <c r="BJ52" s="6">
        <v>60</v>
      </c>
      <c r="BK52" s="6">
        <v>60</v>
      </c>
      <c r="BL52" s="6">
        <v>60</v>
      </c>
      <c r="BM52" s="6">
        <v>38</v>
      </c>
      <c r="BN52" s="6">
        <v>36</v>
      </c>
      <c r="BO52" s="6">
        <v>38</v>
      </c>
      <c r="BP52" s="6">
        <v>38</v>
      </c>
      <c r="BQ52" s="6">
        <v>10</v>
      </c>
      <c r="BR52" s="6">
        <v>10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0</v>
      </c>
      <c r="CB52" s="6">
        <v>0</v>
      </c>
      <c r="CC52" s="6">
        <v>0</v>
      </c>
      <c r="CD52" s="6">
        <v>0</v>
      </c>
      <c r="CE52" s="6">
        <v>0</v>
      </c>
      <c r="CF52" s="6">
        <v>0</v>
      </c>
      <c r="CG52" s="6">
        <v>0</v>
      </c>
      <c r="CH52" s="6">
        <v>0</v>
      </c>
    </row>
    <row r="53" spans="1:86" ht="18.75" customHeight="1">
      <c r="A53" s="1" t="s">
        <v>56</v>
      </c>
      <c r="B53" s="1" t="s">
        <v>78</v>
      </c>
      <c r="C53" s="6">
        <v>19</v>
      </c>
      <c r="D53" s="6">
        <v>162</v>
      </c>
      <c r="E53" s="6">
        <v>59</v>
      </c>
      <c r="F53" s="6">
        <v>0</v>
      </c>
      <c r="G53" s="1" t="s">
        <v>87</v>
      </c>
      <c r="H53" s="6">
        <v>92</v>
      </c>
      <c r="I53" s="6">
        <v>39</v>
      </c>
      <c r="J53" s="6">
        <v>39</v>
      </c>
      <c r="K53" s="6">
        <v>8</v>
      </c>
      <c r="L53" s="6">
        <v>8</v>
      </c>
      <c r="M53" s="6">
        <v>5</v>
      </c>
      <c r="N53" s="6">
        <v>5</v>
      </c>
      <c r="O53" s="6">
        <v>11</v>
      </c>
      <c r="P53" s="6">
        <v>11</v>
      </c>
      <c r="Q53" s="5">
        <v>6.5</v>
      </c>
      <c r="R53" s="5">
        <v>6.5</v>
      </c>
      <c r="S53" s="5">
        <v>9.5</v>
      </c>
      <c r="T53" s="5">
        <v>9.5</v>
      </c>
      <c r="U53" s="6">
        <v>240</v>
      </c>
      <c r="V53" s="6">
        <v>240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29</v>
      </c>
      <c r="BF53" s="6">
        <v>39</v>
      </c>
      <c r="BG53" s="5">
        <v>7.96</v>
      </c>
      <c r="BH53" s="5">
        <v>5.83</v>
      </c>
      <c r="BI53" s="6">
        <v>60</v>
      </c>
      <c r="BJ53" s="6">
        <v>40</v>
      </c>
      <c r="BK53" s="6">
        <v>60</v>
      </c>
      <c r="BL53" s="6">
        <v>60</v>
      </c>
      <c r="BM53" s="6">
        <v>29</v>
      </c>
      <c r="BN53" s="6">
        <v>25</v>
      </c>
      <c r="BO53" s="6">
        <v>26</v>
      </c>
      <c r="BP53" s="6">
        <v>22</v>
      </c>
      <c r="BQ53" s="6">
        <v>10</v>
      </c>
      <c r="BR53" s="6">
        <v>3</v>
      </c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0</v>
      </c>
      <c r="CB53" s="6">
        <v>0</v>
      </c>
      <c r="CC53" s="6">
        <v>0</v>
      </c>
      <c r="CD53" s="6">
        <v>0</v>
      </c>
      <c r="CE53" s="6">
        <v>0</v>
      </c>
      <c r="CF53" s="6">
        <v>0</v>
      </c>
      <c r="CG53" s="6">
        <v>0</v>
      </c>
      <c r="CH53" s="6">
        <v>0</v>
      </c>
    </row>
    <row r="54" spans="1:86" ht="18.75" customHeight="1">
      <c r="A54" s="1" t="s">
        <v>55</v>
      </c>
      <c r="B54" s="1" t="s">
        <v>79</v>
      </c>
      <c r="C54" s="6">
        <v>24</v>
      </c>
      <c r="D54" s="6">
        <v>171</v>
      </c>
      <c r="E54" s="6">
        <v>81</v>
      </c>
      <c r="F54" s="6">
        <v>0</v>
      </c>
      <c r="G54" s="1" t="s">
        <v>87</v>
      </c>
      <c r="H54" s="6">
        <v>89</v>
      </c>
      <c r="I54" s="6">
        <v>48</v>
      </c>
      <c r="J54" s="6">
        <v>48</v>
      </c>
      <c r="K54" s="6">
        <v>10</v>
      </c>
      <c r="L54" s="6">
        <v>10</v>
      </c>
      <c r="M54" s="5">
        <v>6.5</v>
      </c>
      <c r="N54" s="5">
        <v>6.5</v>
      </c>
      <c r="O54" s="6">
        <v>10</v>
      </c>
      <c r="P54" s="6">
        <v>10</v>
      </c>
      <c r="Q54" s="6">
        <v>8</v>
      </c>
      <c r="R54" s="6">
        <v>8</v>
      </c>
      <c r="S54" s="5">
        <v>10.5</v>
      </c>
      <c r="T54" s="5">
        <v>10.5</v>
      </c>
      <c r="U54" s="6">
        <v>270</v>
      </c>
      <c r="V54" s="6">
        <v>270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19</v>
      </c>
      <c r="BF54" s="6">
        <v>38</v>
      </c>
      <c r="BG54" s="5">
        <v>8.0299999999999994</v>
      </c>
      <c r="BH54" s="5">
        <v>5.13</v>
      </c>
      <c r="BI54" s="6">
        <v>46</v>
      </c>
      <c r="BJ54" s="6">
        <v>60</v>
      </c>
      <c r="BK54" s="6">
        <v>60</v>
      </c>
      <c r="BL54" s="6">
        <v>60</v>
      </c>
      <c r="BM54" s="6">
        <v>54</v>
      </c>
      <c r="BN54" s="6">
        <v>60</v>
      </c>
      <c r="BO54" s="6">
        <v>62</v>
      </c>
      <c r="BP54" s="6">
        <v>52</v>
      </c>
      <c r="BQ54" s="6">
        <v>16</v>
      </c>
      <c r="BR54" s="6">
        <v>19</v>
      </c>
      <c r="BS54" s="4" t="s">
        <v>160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6">
        <v>0</v>
      </c>
    </row>
    <row r="55" spans="1:86" ht="18.75" customHeight="1">
      <c r="A55" s="1" t="s">
        <v>67</v>
      </c>
      <c r="B55" s="1" t="s">
        <v>78</v>
      </c>
      <c r="C55" s="6">
        <v>20</v>
      </c>
      <c r="D55" s="6">
        <v>166</v>
      </c>
      <c r="E55" s="6">
        <v>54</v>
      </c>
      <c r="F55" s="6">
        <v>0</v>
      </c>
      <c r="G55" s="1" t="s">
        <v>87</v>
      </c>
      <c r="H55" s="6">
        <v>83</v>
      </c>
      <c r="I55" s="6">
        <v>41</v>
      </c>
      <c r="J55" s="6">
        <v>41</v>
      </c>
      <c r="K55" s="6">
        <v>8</v>
      </c>
      <c r="L55" s="6">
        <v>8</v>
      </c>
      <c r="M55" s="5">
        <v>5.5</v>
      </c>
      <c r="N55" s="5">
        <v>5.5</v>
      </c>
      <c r="O55" s="5">
        <v>10.5</v>
      </c>
      <c r="P55" s="5">
        <v>10.5</v>
      </c>
      <c r="Q55" s="6">
        <v>7</v>
      </c>
      <c r="R55" s="6">
        <v>7</v>
      </c>
      <c r="S55" s="5">
        <v>9.5</v>
      </c>
      <c r="T55" s="5">
        <v>9.5</v>
      </c>
      <c r="U55" s="6">
        <v>245</v>
      </c>
      <c r="V55" s="6">
        <v>245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48</v>
      </c>
      <c r="BF55" s="6">
        <v>32</v>
      </c>
      <c r="BG55" s="5">
        <v>8.67</v>
      </c>
      <c r="BH55" s="5">
        <v>5.7</v>
      </c>
      <c r="BI55" s="6">
        <v>60</v>
      </c>
      <c r="BJ55" s="6">
        <v>60</v>
      </c>
      <c r="BK55" s="6">
        <v>60</v>
      </c>
      <c r="BL55" s="6">
        <v>60</v>
      </c>
      <c r="BM55" s="6">
        <v>32</v>
      </c>
      <c r="BN55" s="6">
        <v>30</v>
      </c>
      <c r="BO55" s="6">
        <v>30</v>
      </c>
      <c r="BP55" s="6">
        <v>30</v>
      </c>
      <c r="BQ55" s="6">
        <v>15</v>
      </c>
      <c r="BR55" s="6">
        <v>27</v>
      </c>
      <c r="BS55" s="6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6">
        <v>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/>
  </sheetPr>
  <dimension ref="A1:I53"/>
  <sheetViews>
    <sheetView workbookViewId="0">
      <pane ySplit="1" topLeftCell="A11" activePane="bottomLeft" state="frozen"/>
      <selection pane="bottomLeft" activeCell="I11" sqref="I11"/>
    </sheetView>
  </sheetViews>
  <sheetFormatPr defaultColWidth="8.59765625" defaultRowHeight="17.399999999999999"/>
  <cols>
    <col min="1" max="1" width="4.09765625" style="15" bestFit="1" customWidth="1"/>
    <col min="2" max="2" width="7.09765625" style="16" bestFit="1" customWidth="1"/>
    <col min="3" max="3" width="6.09765625" style="15" bestFit="1" customWidth="1"/>
    <col min="4" max="4" width="5.59765625" style="15" bestFit="1" customWidth="1"/>
    <col min="5" max="5" width="11.09765625" style="16" bestFit="1" customWidth="1"/>
    <col min="6" max="6" width="4.59765625" style="15" bestFit="1" customWidth="1"/>
    <col min="7" max="7" width="8" style="15" bestFit="1" customWidth="1"/>
    <col min="8" max="8" width="15" style="16" hidden="1" customWidth="1"/>
    <col min="9" max="9" width="18.8984375" bestFit="1" customWidth="1"/>
  </cols>
  <sheetData>
    <row r="1" spans="1:9" ht="18.75" customHeight="1">
      <c r="A1" s="9" t="s">
        <v>227</v>
      </c>
      <c r="B1" s="10" t="s">
        <v>228</v>
      </c>
      <c r="C1" s="11" t="s">
        <v>229</v>
      </c>
      <c r="D1" s="11" t="s">
        <v>230</v>
      </c>
      <c r="E1" s="10" t="s">
        <v>231</v>
      </c>
      <c r="F1" s="11" t="s">
        <v>232</v>
      </c>
      <c r="G1" s="11" t="s">
        <v>233</v>
      </c>
      <c r="H1" s="12" t="s">
        <v>234</v>
      </c>
      <c r="I1" s="12" t="s">
        <v>235</v>
      </c>
    </row>
    <row r="2" spans="1:9" ht="18.75" customHeight="1">
      <c r="A2" s="13">
        <f>_xlfn.SEQUENCE(ROWS(_xlfn.ANCHORARRAY(B2)))</f>
        <v>1</v>
      </c>
      <c r="B2" s="14" t="str">
        <f>_xlfn._xlws.SORT(_xlfn.UNIQUE(_xlfn._xlws.FILTER(tbl_in[subject], tbl_in[subject] &lt;&gt; "")))</f>
        <v>가윤호</v>
      </c>
      <c r="C2" s="13">
        <f>COUNTIFS(platform!$A:$A,B2,platform!$G:$G,1)</f>
        <v>12</v>
      </c>
      <c r="D2" s="49">
        <f>COUNTIF(platform!$A:$A,B2)</f>
        <v>20</v>
      </c>
      <c r="E2" t="str">
        <f>C2&amp;"/"&amp;D2</f>
        <v>12/20</v>
      </c>
      <c r="F2" s="13">
        <f>COUNTIFS(platform!$A:$A,B2,platform!$G:$G,1,platform!$E:$E,"step")</f>
        <v>8</v>
      </c>
      <c r="G2" s="13">
        <f>COUNTIFS(platform!$A:$A,B2,platform!$G:$G,1,platform!$E:$E,"nonstep")</f>
        <v>4</v>
      </c>
      <c r="H2" s="14" t="str">
        <f>IF($B2="","",MixedVelocities($B2))</f>
        <v>60</v>
      </c>
      <c r="I2" cm="1">
        <f t="array" ref="I2">MixedVelocityAvg($B2)</f>
        <v>60</v>
      </c>
    </row>
    <row r="3" spans="1:9" ht="18.75" customHeight="1">
      <c r="A3" s="13">
        <v>2</v>
      </c>
      <c r="B3" s="14" t="s">
        <v>64</v>
      </c>
      <c r="C3" s="13">
        <f>COUNTIFS(platform!$A:$A,B3,platform!$G:$G,1)</f>
        <v>11</v>
      </c>
      <c r="D3" s="49">
        <f>COUNTIF(platform!$A:$A,B3)</f>
        <v>17</v>
      </c>
      <c r="E3" t="str">
        <f t="shared" ref="E3:E53" si="0">C3&amp;"/"&amp;D3</f>
        <v>11/17</v>
      </c>
      <c r="F3" s="13">
        <f>COUNTIFS(platform!$A:$A,B3,platform!$G:$G,1,platform!$E:$E,"step")</f>
        <v>6</v>
      </c>
      <c r="G3" s="13">
        <f>COUNTIFS(platform!$A:$A,B3,platform!$G:$G,1,platform!$E:$E,"nonstep")</f>
        <v>5</v>
      </c>
      <c r="H3" s="14" t="str">
        <f>IF($B3="","",MixedVelocities($B3))</f>
        <v>30</v>
      </c>
      <c r="I3" cm="1">
        <f t="array" ref="I3">MixedVelocityAvg($B3)</f>
        <v>30</v>
      </c>
    </row>
    <row r="4" spans="1:9" ht="18.75" customHeight="1">
      <c r="A4" s="13">
        <v>3</v>
      </c>
      <c r="B4" s="14" t="s">
        <v>46</v>
      </c>
      <c r="C4" s="13">
        <f>COUNTIFS(platform!$A:$A,B4,platform!$G:$G,1)</f>
        <v>4</v>
      </c>
      <c r="D4" s="49">
        <f>COUNTIF(platform!$A:$A,B4)</f>
        <v>19</v>
      </c>
      <c r="E4" t="str">
        <f t="shared" si="0"/>
        <v>4/19</v>
      </c>
      <c r="F4" s="13">
        <f>COUNTIFS(platform!$A:$A,B4,platform!$G:$G,1,platform!$E:$E,"step")</f>
        <v>3</v>
      </c>
      <c r="G4" s="13">
        <f>COUNTIFS(platform!$A:$A,B4,platform!$G:$G,1,platform!$E:$E,"nonstep")</f>
        <v>1</v>
      </c>
      <c r="H4" s="14" t="str">
        <f>IF($B4="","",MixedVelocities($B4))</f>
        <v>35</v>
      </c>
      <c r="I4" cm="1">
        <f t="array" ref="I4">MixedVelocityAvg($B4)</f>
        <v>35</v>
      </c>
    </row>
    <row r="5" spans="1:9" ht="18.75" customHeight="1">
      <c r="A5" s="13">
        <v>4</v>
      </c>
      <c r="B5" s="14" t="s">
        <v>45</v>
      </c>
      <c r="C5" s="13">
        <f>COUNTIFS(platform!$A:$A,B5,platform!$G:$G,1)</f>
        <v>7</v>
      </c>
      <c r="D5" s="49">
        <f>COUNTIF(platform!$A:$A,B5)</f>
        <v>19</v>
      </c>
      <c r="E5" t="str">
        <f t="shared" si="0"/>
        <v>7/19</v>
      </c>
      <c r="F5" s="13">
        <f>COUNTIFS(platform!$A:$A,B5,platform!$G:$G,1,platform!$E:$E,"step")</f>
        <v>5</v>
      </c>
      <c r="G5" s="13">
        <f>COUNTIFS(platform!$A:$A,B5,platform!$G:$G,1,platform!$E:$E,"nonstep")</f>
        <v>2</v>
      </c>
      <c r="H5" s="14" t="str">
        <f>IF($B5="","",MixedVelocities($B5))</f>
        <v>20</v>
      </c>
      <c r="I5" cm="1">
        <f t="array" ref="I5">MixedVelocityAvg($B5)</f>
        <v>20</v>
      </c>
    </row>
    <row r="6" spans="1:9" ht="18.75" customHeight="1">
      <c r="A6" s="13">
        <v>5</v>
      </c>
      <c r="B6" s="14" t="s">
        <v>49</v>
      </c>
      <c r="C6" s="13">
        <f>COUNTIFS(platform!$A:$A,B6,platform!$G:$G,1)</f>
        <v>0</v>
      </c>
      <c r="D6" s="49">
        <f>COUNTIF(platform!$A:$A,B6)</f>
        <v>17</v>
      </c>
      <c r="E6" t="str">
        <f t="shared" si="0"/>
        <v>0/17</v>
      </c>
      <c r="F6" s="13">
        <f>COUNTIFS(platform!$A:$A,B6,platform!$G:$G,1,platform!$E:$E,"step")</f>
        <v>0</v>
      </c>
      <c r="G6" s="13">
        <f>COUNTIFS(platform!$A:$A,B6,platform!$G:$G,1,platform!$E:$E,"nonstep")</f>
        <v>0</v>
      </c>
      <c r="H6" s="14" t="str">
        <f>IF($B6="","",MixedVelocities($B6))</f>
        <v>-</v>
      </c>
      <c r="I6" t="e" cm="1">
        <f t="array" ref="I6">MixedVelocityAvg($B6)</f>
        <v>#N/A</v>
      </c>
    </row>
    <row r="7" spans="1:9" ht="18.75" customHeight="1">
      <c r="A7" s="13">
        <v>6</v>
      </c>
      <c r="B7" s="14" t="s">
        <v>61</v>
      </c>
      <c r="C7" s="13">
        <f>COUNTIFS(platform!$A:$A,B7,platform!$G:$G,1)</f>
        <v>12</v>
      </c>
      <c r="D7" s="49">
        <f>COUNTIF(platform!$A:$A,B7)</f>
        <v>18</v>
      </c>
      <c r="E7" t="str">
        <f t="shared" si="0"/>
        <v>12/18</v>
      </c>
      <c r="F7" s="13">
        <f>COUNTIFS(platform!$A:$A,B7,platform!$G:$G,1,platform!$E:$E,"step")</f>
        <v>6</v>
      </c>
      <c r="G7" s="13">
        <f>COUNTIFS(platform!$A:$A,B7,platform!$G:$G,1,platform!$E:$E,"nonstep")</f>
        <v>6</v>
      </c>
      <c r="H7" s="14" t="str">
        <f>IF($B7="","",MixedVelocities($B7))</f>
        <v>126.4</v>
      </c>
      <c r="I7" cm="1">
        <f t="array" ref="I7">MixedVelocityAvg($B7)</f>
        <v>126.4</v>
      </c>
    </row>
    <row r="8" spans="1:9" ht="18.75" customHeight="1">
      <c r="A8" s="13">
        <v>7</v>
      </c>
      <c r="B8" s="14" t="s">
        <v>43</v>
      </c>
      <c r="C8" s="13">
        <f>COUNTIFS(platform!$A:$A,B8,platform!$G:$G,1)</f>
        <v>0</v>
      </c>
      <c r="D8" s="49">
        <f>COUNTIF(platform!$A:$A,B8)</f>
        <v>13</v>
      </c>
      <c r="E8" t="str">
        <f t="shared" si="0"/>
        <v>0/13</v>
      </c>
      <c r="F8" s="13">
        <f>COUNTIFS(platform!$A:$A,B8,platform!$G:$G,1,platform!$E:$E,"step")</f>
        <v>0</v>
      </c>
      <c r="G8" s="13">
        <f>COUNTIFS(platform!$A:$A,B8,platform!$G:$G,1,platform!$E:$E,"nonstep")</f>
        <v>0</v>
      </c>
      <c r="H8" s="14" t="str">
        <f>IF($B8="","",MixedVelocities($B8))</f>
        <v>-</v>
      </c>
      <c r="I8" t="e" cm="1">
        <f t="array" ref="I8">MixedVelocityAvg($B8)</f>
        <v>#N/A</v>
      </c>
    </row>
    <row r="9" spans="1:9" ht="18.75" customHeight="1">
      <c r="A9" s="13">
        <v>8</v>
      </c>
      <c r="B9" s="14" t="s">
        <v>17</v>
      </c>
      <c r="C9" s="13">
        <f>COUNTIFS(platform!$A:$A,B9,platform!$G:$G,1)</f>
        <v>0</v>
      </c>
      <c r="D9" s="49">
        <f>COUNTIF(platform!$A:$A,B9)</f>
        <v>11</v>
      </c>
      <c r="E9" t="str">
        <f t="shared" si="0"/>
        <v>0/11</v>
      </c>
      <c r="F9" s="13">
        <f>COUNTIFS(platform!$A:$A,B9,platform!$G:$G,1,platform!$E:$E,"step")</f>
        <v>0</v>
      </c>
      <c r="G9" s="13">
        <f>COUNTIFS(platform!$A:$A,B9,platform!$G:$G,1,platform!$E:$E,"nonstep")</f>
        <v>0</v>
      </c>
      <c r="H9" s="14" t="str">
        <f>IF($B9="","",MixedVelocities($B9))</f>
        <v>-</v>
      </c>
      <c r="I9" t="e" cm="1">
        <f t="array" ref="I9">MixedVelocityAvg($B9)</f>
        <v>#N/A</v>
      </c>
    </row>
    <row r="10" spans="1:9" ht="18.75" customHeight="1">
      <c r="A10" s="13">
        <v>9</v>
      </c>
      <c r="B10" s="14" t="s">
        <v>27</v>
      </c>
      <c r="C10" s="13">
        <f>COUNTIFS(platform!$A:$A,B10,platform!$G:$G,1)</f>
        <v>7</v>
      </c>
      <c r="D10" s="49">
        <f>COUNTIF(platform!$A:$A,B10)</f>
        <v>12</v>
      </c>
      <c r="E10" t="str">
        <f t="shared" si="0"/>
        <v>7/12</v>
      </c>
      <c r="F10" s="13">
        <f>COUNTIFS(platform!$A:$A,B10,platform!$G:$G,1,platform!$E:$E,"step")</f>
        <v>5</v>
      </c>
      <c r="G10" s="13">
        <f>COUNTIFS(platform!$A:$A,B10,platform!$G:$G,1,platform!$E:$E,"nonstep")</f>
        <v>2</v>
      </c>
      <c r="H10" s="14" t="str">
        <f>IF($B10="","",MixedVelocities($B10))</f>
        <v>18</v>
      </c>
      <c r="I10" cm="1">
        <f t="array" ref="I10">MixedVelocityAvg($B10)</f>
        <v>18</v>
      </c>
    </row>
    <row r="11" spans="1:9" ht="18.75" customHeight="1">
      <c r="A11" s="13">
        <v>10</v>
      </c>
      <c r="B11" s="14" t="s">
        <v>41</v>
      </c>
      <c r="C11" s="13">
        <f>COUNTIFS(platform!$A:$A,B11,platform!$G:$G,1)</f>
        <v>4</v>
      </c>
      <c r="D11" s="49">
        <f>COUNTIF(platform!$A:$A,B11)</f>
        <v>21</v>
      </c>
      <c r="E11" t="str">
        <f t="shared" si="0"/>
        <v>4/21</v>
      </c>
      <c r="F11" s="13">
        <f>COUNTIFS(platform!$A:$A,B11,platform!$G:$G,1,platform!$E:$E,"step")</f>
        <v>3</v>
      </c>
      <c r="G11" s="13">
        <f>COUNTIFS(platform!$A:$A,B11,platform!$G:$G,1,platform!$E:$E,"nonstep")</f>
        <v>1</v>
      </c>
      <c r="H11" s="14" t="str">
        <f>IF($B11="","",MixedVelocities($B11))</f>
        <v>60</v>
      </c>
      <c r="I11" cm="1">
        <f t="array" ref="I11">MixedVelocityAvg($B11)</f>
        <v>60</v>
      </c>
    </row>
    <row r="12" spans="1:9" ht="18.75" customHeight="1">
      <c r="A12" s="13">
        <v>11</v>
      </c>
      <c r="B12" s="14" t="s">
        <v>58</v>
      </c>
      <c r="C12" s="13">
        <f>COUNTIFS(platform!$A:$A,B12,platform!$G:$G,1)</f>
        <v>10</v>
      </c>
      <c r="D12" s="49">
        <f>COUNTIF(platform!$A:$A,B12)</f>
        <v>22</v>
      </c>
      <c r="E12" t="str">
        <f t="shared" si="0"/>
        <v>10/22</v>
      </c>
      <c r="F12" s="13">
        <f>COUNTIFS(platform!$A:$A,B12,platform!$G:$G,1,platform!$E:$E,"step")</f>
        <v>4</v>
      </c>
      <c r="G12" s="13">
        <f>COUNTIFS(platform!$A:$A,B12,platform!$G:$G,1,platform!$E:$E,"nonstep")</f>
        <v>6</v>
      </c>
      <c r="H12" s="14" t="str">
        <f>IF($B12="","",MixedVelocities($B12))</f>
        <v>70</v>
      </c>
      <c r="I12" cm="1">
        <f t="array" ref="I12">MixedVelocityAvg($B12)</f>
        <v>70</v>
      </c>
    </row>
    <row r="13" spans="1:9" ht="18.75" customHeight="1">
      <c r="A13" s="13">
        <v>12</v>
      </c>
      <c r="B13" s="14" t="s">
        <v>18</v>
      </c>
      <c r="C13" s="13">
        <f>COUNTIFS(platform!$A:$A,B13,platform!$G:$G,1)</f>
        <v>7</v>
      </c>
      <c r="D13" s="49">
        <f>COUNTIF(platform!$A:$A,B13)</f>
        <v>13</v>
      </c>
      <c r="E13" t="str">
        <f t="shared" si="0"/>
        <v>7/13</v>
      </c>
      <c r="F13" s="13">
        <f>COUNTIFS(platform!$A:$A,B13,platform!$G:$G,1,platform!$E:$E,"step")</f>
        <v>1</v>
      </c>
      <c r="G13" s="13">
        <f>COUNTIFS(platform!$A:$A,B13,platform!$G:$G,1,platform!$E:$E,"nonstep")</f>
        <v>6</v>
      </c>
      <c r="H13" s="14" t="str">
        <f>IF($B13="","",MixedVelocities($B13))</f>
        <v>20</v>
      </c>
      <c r="I13" cm="1">
        <f t="array" ref="I13">MixedVelocityAvg($B13)</f>
        <v>20</v>
      </c>
    </row>
    <row r="14" spans="1:9" ht="18.75" customHeight="1">
      <c r="A14" s="13">
        <v>13</v>
      </c>
      <c r="B14" s="14" t="s">
        <v>30</v>
      </c>
      <c r="C14" s="13">
        <f>COUNTIFS(platform!$A:$A,B14,platform!$G:$G,1)</f>
        <v>4</v>
      </c>
      <c r="D14" s="49">
        <f>COUNTIF(platform!$A:$A,B14)</f>
        <v>34</v>
      </c>
      <c r="E14" t="str">
        <f t="shared" si="0"/>
        <v>4/34</v>
      </c>
      <c r="F14" s="13">
        <f>COUNTIFS(platform!$A:$A,B14,platform!$G:$G,1,platform!$E:$E,"step")</f>
        <v>2</v>
      </c>
      <c r="G14" s="13">
        <f>COUNTIFS(platform!$A:$A,B14,platform!$G:$G,1,platform!$E:$E,"nonstep")</f>
        <v>2</v>
      </c>
      <c r="H14" s="14" t="str">
        <f>IF($B14="","",MixedVelocities($B14))</f>
        <v>130.7</v>
      </c>
      <c r="I14" cm="1">
        <f t="array" ref="I14">MixedVelocityAvg($B14)</f>
        <v>130.69999999999999</v>
      </c>
    </row>
    <row r="15" spans="1:9" ht="18.75" customHeight="1">
      <c r="A15" s="13">
        <v>14</v>
      </c>
      <c r="B15" s="14" t="s">
        <v>24</v>
      </c>
      <c r="C15" s="13">
        <f>COUNTIFS(platform!$A:$A,B15,platform!$G:$G,1)</f>
        <v>0</v>
      </c>
      <c r="D15" s="49">
        <f>COUNTIF(platform!$A:$A,B15)</f>
        <v>14</v>
      </c>
      <c r="E15" t="str">
        <f t="shared" si="0"/>
        <v>0/14</v>
      </c>
      <c r="F15" s="13">
        <f>COUNTIFS(platform!$A:$A,B15,platform!$G:$G,1,platform!$E:$E,"step")</f>
        <v>0</v>
      </c>
      <c r="G15" s="13">
        <f>COUNTIFS(platform!$A:$A,B15,platform!$G:$G,1,platform!$E:$E,"nonstep")</f>
        <v>0</v>
      </c>
      <c r="H15" s="14" t="str">
        <f>IF($B15="","",MixedVelocities($B15))</f>
        <v>-</v>
      </c>
      <c r="I15" t="e" cm="1">
        <f t="array" ref="I15">MixedVelocityAvg($B15)</f>
        <v>#N/A</v>
      </c>
    </row>
    <row r="16" spans="1:9" ht="18.75" customHeight="1">
      <c r="A16" s="13">
        <v>15</v>
      </c>
      <c r="B16" s="14" t="s">
        <v>25</v>
      </c>
      <c r="C16" s="13">
        <f>COUNTIFS(platform!$A:$A,B16,platform!$G:$G,1)</f>
        <v>0</v>
      </c>
      <c r="D16" s="49">
        <f>COUNTIF(platform!$A:$A,B16)</f>
        <v>11</v>
      </c>
      <c r="E16" t="str">
        <f t="shared" si="0"/>
        <v>0/11</v>
      </c>
      <c r="F16" s="13">
        <f>COUNTIFS(platform!$A:$A,B16,platform!$G:$G,1,platform!$E:$E,"step")</f>
        <v>0</v>
      </c>
      <c r="G16" s="13">
        <f>COUNTIFS(platform!$A:$A,B16,platform!$G:$G,1,platform!$E:$E,"nonstep")</f>
        <v>0</v>
      </c>
      <c r="H16" s="14" t="str">
        <f>IF($B16="","",MixedVelocities($B16))</f>
        <v>-</v>
      </c>
      <c r="I16" t="e" cm="1">
        <f t="array" ref="I16">MixedVelocityAvg($B16)</f>
        <v>#N/A</v>
      </c>
    </row>
    <row r="17" spans="1:9" ht="18.75" customHeight="1">
      <c r="A17" s="13">
        <v>16</v>
      </c>
      <c r="B17" s="14" t="s">
        <v>44</v>
      </c>
      <c r="C17" s="13">
        <f>COUNTIFS(platform!$A:$A,B17,platform!$G:$G,1)</f>
        <v>0</v>
      </c>
      <c r="D17" s="49">
        <f>COUNTIF(platform!$A:$A,B17)</f>
        <v>18</v>
      </c>
      <c r="E17" t="str">
        <f t="shared" si="0"/>
        <v>0/18</v>
      </c>
      <c r="F17" s="13">
        <f>COUNTIFS(platform!$A:$A,B17,platform!$G:$G,1,platform!$E:$E,"step")</f>
        <v>0</v>
      </c>
      <c r="G17" s="13">
        <f>COUNTIFS(platform!$A:$A,B17,platform!$G:$G,1,platform!$E:$E,"nonstep")</f>
        <v>0</v>
      </c>
      <c r="H17" s="14" t="str">
        <f>IF($B17="","",MixedVelocities($B17))</f>
        <v>-</v>
      </c>
      <c r="I17" t="e" cm="1">
        <f t="array" ref="I17">MixedVelocityAvg($B17)</f>
        <v>#N/A</v>
      </c>
    </row>
    <row r="18" spans="1:9" ht="18.75" customHeight="1">
      <c r="A18" s="13">
        <v>17</v>
      </c>
      <c r="B18" s="14" t="s">
        <v>52</v>
      </c>
      <c r="C18" s="13">
        <f>COUNTIFS(platform!$A:$A,B18,platform!$G:$G,1)</f>
        <v>0</v>
      </c>
      <c r="D18" s="49">
        <f>COUNTIF(platform!$A:$A,B18)</f>
        <v>13</v>
      </c>
      <c r="E18" t="str">
        <f t="shared" si="0"/>
        <v>0/13</v>
      </c>
      <c r="F18" s="13">
        <f>COUNTIFS(platform!$A:$A,B18,platform!$G:$G,1,platform!$E:$E,"step")</f>
        <v>0</v>
      </c>
      <c r="G18" s="13">
        <f>COUNTIFS(platform!$A:$A,B18,platform!$G:$G,1,platform!$E:$E,"nonstep")</f>
        <v>0</v>
      </c>
      <c r="H18" s="14" t="str">
        <f>IF($B18="","",MixedVelocities($B18))</f>
        <v>-</v>
      </c>
      <c r="I18" t="e" cm="1">
        <f t="array" ref="I18">MixedVelocityAvg($B18)</f>
        <v>#N/A</v>
      </c>
    </row>
    <row r="19" spans="1:9" ht="18.75" customHeight="1">
      <c r="A19" s="13">
        <v>18</v>
      </c>
      <c r="B19" s="14" t="s">
        <v>57</v>
      </c>
      <c r="C19" s="13">
        <f>COUNTIFS(platform!$A:$A,B19,platform!$G:$G,1)</f>
        <v>5</v>
      </c>
      <c r="D19" s="49">
        <f>COUNTIF(platform!$A:$A,B19)</f>
        <v>24</v>
      </c>
      <c r="E19" t="str">
        <f t="shared" si="0"/>
        <v>5/24</v>
      </c>
      <c r="F19" s="13">
        <f>COUNTIFS(platform!$A:$A,B19,platform!$G:$G,1,platform!$E:$E,"step")</f>
        <v>3</v>
      </c>
      <c r="G19" s="13">
        <f>COUNTIFS(platform!$A:$A,B19,platform!$G:$G,1,platform!$E:$E,"nonstep")</f>
        <v>2</v>
      </c>
      <c r="H19" s="14" t="str">
        <f>IF($B19="","",MixedVelocities($B19))</f>
        <v>50</v>
      </c>
      <c r="I19" cm="1">
        <f t="array" ref="I19">MixedVelocityAvg($B19)</f>
        <v>50</v>
      </c>
    </row>
    <row r="20" spans="1:9" ht="18.75" customHeight="1">
      <c r="A20" s="13">
        <v>19</v>
      </c>
      <c r="B20" s="14" t="s">
        <v>60</v>
      </c>
      <c r="C20" s="13">
        <f>COUNTIFS(platform!$A:$A,B20,platform!$G:$G,1)</f>
        <v>6</v>
      </c>
      <c r="D20" s="49">
        <f>COUNTIF(platform!$A:$A,B20)</f>
        <v>22</v>
      </c>
      <c r="E20" t="str">
        <f t="shared" si="0"/>
        <v>6/22</v>
      </c>
      <c r="F20" s="13">
        <f>COUNTIFS(platform!$A:$A,B20,platform!$G:$G,1,platform!$E:$E,"step")</f>
        <v>3</v>
      </c>
      <c r="G20" s="13">
        <f>COUNTIFS(platform!$A:$A,B20,platform!$G:$G,1,platform!$E:$E,"nonstep")</f>
        <v>3</v>
      </c>
      <c r="H20" s="14" t="str">
        <f>IF($B20="","",MixedVelocities($B20))</f>
        <v>170.5</v>
      </c>
      <c r="I20" cm="1">
        <f t="array" ref="I20">MixedVelocityAvg($B20)</f>
        <v>170.5</v>
      </c>
    </row>
    <row r="21" spans="1:9" ht="18.75" customHeight="1">
      <c r="A21" s="13">
        <v>20</v>
      </c>
      <c r="B21" s="14" t="s">
        <v>53</v>
      </c>
      <c r="C21" s="13">
        <f>COUNTIFS(platform!$A:$A,B21,platform!$G:$G,1)</f>
        <v>12</v>
      </c>
      <c r="D21" s="49">
        <f>COUNTIF(platform!$A:$A,B21)</f>
        <v>22</v>
      </c>
      <c r="E21" t="str">
        <f t="shared" si="0"/>
        <v>12/22</v>
      </c>
      <c r="F21" s="13">
        <f>COUNTIFS(platform!$A:$A,B21,platform!$G:$G,1,platform!$E:$E,"step")</f>
        <v>10</v>
      </c>
      <c r="G21" s="13">
        <f>COUNTIFS(platform!$A:$A,B21,platform!$G:$G,1,platform!$E:$E,"nonstep")</f>
        <v>2</v>
      </c>
      <c r="H21" s="14" t="str">
        <f>IF($B21="","",MixedVelocities($B21))</f>
        <v>30</v>
      </c>
      <c r="I21" cm="1">
        <f t="array" ref="I21">MixedVelocityAvg($B21)</f>
        <v>30</v>
      </c>
    </row>
    <row r="22" spans="1:9" ht="18.75" customHeight="1">
      <c r="A22" s="13">
        <v>21</v>
      </c>
      <c r="B22" s="14" t="s">
        <v>28</v>
      </c>
      <c r="C22" s="13">
        <f>COUNTIFS(platform!$A:$A,B22,platform!$G:$G,1)</f>
        <v>8</v>
      </c>
      <c r="D22" s="49">
        <f>COUNTIF(platform!$A:$A,B22)</f>
        <v>15</v>
      </c>
      <c r="E22" t="str">
        <f t="shared" si="0"/>
        <v>8/15</v>
      </c>
      <c r="F22" s="13">
        <f>COUNTIFS(platform!$A:$A,B22,platform!$G:$G,1,platform!$E:$E,"step")</f>
        <v>5</v>
      </c>
      <c r="G22" s="13">
        <f>COUNTIFS(platform!$A:$A,B22,platform!$G:$G,1,platform!$E:$E,"nonstep")</f>
        <v>3</v>
      </c>
      <c r="H22" s="14" t="str">
        <f>IF($B22="","",MixedVelocities($B22))</f>
        <v>12.5</v>
      </c>
      <c r="I22" cm="1">
        <f t="array" ref="I22">MixedVelocityAvg($B22)</f>
        <v>12.5</v>
      </c>
    </row>
    <row r="23" spans="1:9" ht="18.75" customHeight="1">
      <c r="A23" s="13">
        <v>22</v>
      </c>
      <c r="B23" s="14" t="s">
        <v>38</v>
      </c>
      <c r="C23" s="13">
        <f>COUNTIFS(platform!$A:$A,B23,platform!$G:$G,1)</f>
        <v>0</v>
      </c>
      <c r="D23" s="49">
        <f>COUNTIF(platform!$A:$A,B23)</f>
        <v>20</v>
      </c>
      <c r="E23" t="str">
        <f t="shared" si="0"/>
        <v>0/20</v>
      </c>
      <c r="F23" s="13">
        <f>COUNTIFS(platform!$A:$A,B23,platform!$G:$G,1,platform!$E:$E,"step")</f>
        <v>0</v>
      </c>
      <c r="G23" s="13">
        <f>COUNTIFS(platform!$A:$A,B23,platform!$G:$G,1,platform!$E:$E,"nonstep")</f>
        <v>0</v>
      </c>
      <c r="H23" s="14" t="str">
        <f>IF($B23="","",MixedVelocities($B23))</f>
        <v>-</v>
      </c>
      <c r="I23" t="e" cm="1">
        <f t="array" ref="I23">MixedVelocityAvg($B23)</f>
        <v>#N/A</v>
      </c>
    </row>
    <row r="24" spans="1:9" ht="18.75" customHeight="1">
      <c r="A24" s="13">
        <v>23</v>
      </c>
      <c r="B24" s="14" t="s">
        <v>22</v>
      </c>
      <c r="C24" s="13">
        <f>COUNTIFS(platform!$A:$A,B24,platform!$G:$G,1)</f>
        <v>4</v>
      </c>
      <c r="D24" s="49">
        <f>COUNTIF(platform!$A:$A,B24)</f>
        <v>16</v>
      </c>
      <c r="E24" t="str">
        <f t="shared" si="0"/>
        <v>4/16</v>
      </c>
      <c r="F24" s="13">
        <f>COUNTIFS(platform!$A:$A,B24,platform!$G:$G,1,platform!$E:$E,"step")</f>
        <v>1</v>
      </c>
      <c r="G24" s="13">
        <f>COUNTIFS(platform!$A:$A,B24,platform!$G:$G,1,platform!$E:$E,"nonstep")</f>
        <v>3</v>
      </c>
      <c r="H24" s="14" t="str">
        <f>IF($B24="","",MixedVelocities($B24))</f>
        <v>15</v>
      </c>
      <c r="I24" cm="1">
        <f t="array" ref="I24">MixedVelocityAvg($B24)</f>
        <v>15</v>
      </c>
    </row>
    <row r="25" spans="1:9" ht="18.75" customHeight="1">
      <c r="A25" s="13">
        <v>24</v>
      </c>
      <c r="B25" s="14" t="s">
        <v>56</v>
      </c>
      <c r="C25" s="13">
        <f>COUNTIFS(platform!$A:$A,B25,platform!$G:$G,1)</f>
        <v>7</v>
      </c>
      <c r="D25" s="49">
        <f>COUNTIF(platform!$A:$A,B25)</f>
        <v>21</v>
      </c>
      <c r="E25" t="str">
        <f t="shared" si="0"/>
        <v>7/21</v>
      </c>
      <c r="F25" s="13">
        <f>COUNTIFS(platform!$A:$A,B25,platform!$G:$G,1,platform!$E:$E,"step")</f>
        <v>2</v>
      </c>
      <c r="G25" s="13">
        <f>COUNTIFS(platform!$A:$A,B25,platform!$G:$G,1,platform!$E:$E,"nonstep")</f>
        <v>5</v>
      </c>
      <c r="H25" s="14" t="str">
        <f>IF($B25="","",MixedVelocities($B25))</f>
        <v>126.4</v>
      </c>
      <c r="I25" cm="1">
        <f t="array" ref="I25">MixedVelocityAvg($B25)</f>
        <v>126.4</v>
      </c>
    </row>
    <row r="26" spans="1:9" ht="18.75" customHeight="1">
      <c r="A26" s="13">
        <v>25</v>
      </c>
      <c r="B26" s="14" t="s">
        <v>23</v>
      </c>
      <c r="C26" s="13">
        <f>COUNTIFS(platform!$A:$A,B26,platform!$G:$G,1)</f>
        <v>6</v>
      </c>
      <c r="D26" s="49">
        <f>COUNTIF(platform!$A:$A,B26)</f>
        <v>20</v>
      </c>
      <c r="E26" t="str">
        <f t="shared" si="0"/>
        <v>6/20</v>
      </c>
      <c r="F26" s="13">
        <f>COUNTIFS(platform!$A:$A,B26,platform!$G:$G,1,platform!$E:$E,"step")</f>
        <v>3</v>
      </c>
      <c r="G26" s="13">
        <f>COUNTIFS(platform!$A:$A,B26,platform!$G:$G,1,platform!$E:$E,"nonstep")</f>
        <v>3</v>
      </c>
      <c r="H26" s="14" t="str">
        <f>IF($B26="","",MixedVelocities($B26))</f>
        <v>30</v>
      </c>
      <c r="I26" cm="1">
        <f t="array" ref="I26">MixedVelocityAvg($B26)</f>
        <v>30</v>
      </c>
    </row>
    <row r="27" spans="1:9" ht="18.75" customHeight="1">
      <c r="A27" s="13">
        <v>26</v>
      </c>
      <c r="B27" s="14" t="s">
        <v>29</v>
      </c>
      <c r="C27" s="13">
        <f>COUNTIFS(platform!$A:$A,B27,platform!$G:$G,1)</f>
        <v>8</v>
      </c>
      <c r="D27" s="49">
        <f>COUNTIF(platform!$A:$A,B27)</f>
        <v>16</v>
      </c>
      <c r="E27" t="str">
        <f t="shared" si="0"/>
        <v>8/16</v>
      </c>
      <c r="F27" s="13">
        <f>COUNTIFS(platform!$A:$A,B27,platform!$G:$G,1,platform!$E:$E,"step")</f>
        <v>5</v>
      </c>
      <c r="G27" s="13">
        <f>COUNTIFS(platform!$A:$A,B27,platform!$G:$G,1,platform!$E:$E,"nonstep")</f>
        <v>3</v>
      </c>
      <c r="H27" s="14" t="str">
        <f>IF($B27="","",MixedVelocities($B27))</f>
        <v>20</v>
      </c>
      <c r="I27" cm="1">
        <f t="array" ref="I27">MixedVelocityAvg($B27)</f>
        <v>20</v>
      </c>
    </row>
    <row r="28" spans="1:9" ht="18.75" customHeight="1">
      <c r="A28" s="13">
        <v>27</v>
      </c>
      <c r="B28" s="14" t="s">
        <v>67</v>
      </c>
      <c r="C28" s="13">
        <f>COUNTIFS(platform!$A:$A,B28,platform!$G:$G,1)</f>
        <v>10</v>
      </c>
      <c r="D28" s="49">
        <f>COUNTIF(platform!$A:$A,B28)</f>
        <v>20</v>
      </c>
      <c r="E28" t="str">
        <f t="shared" si="0"/>
        <v>10/20</v>
      </c>
      <c r="F28" s="13">
        <f>COUNTIFS(platform!$A:$A,B28,platform!$G:$G,1,platform!$E:$E,"step")</f>
        <v>7</v>
      </c>
      <c r="G28" s="13">
        <f>COUNTIFS(platform!$A:$A,B28,platform!$G:$G,1,platform!$E:$E,"nonstep")</f>
        <v>3</v>
      </c>
      <c r="H28" s="14" t="str">
        <f>IF($B28="","",MixedVelocities($B28))</f>
        <v>25</v>
      </c>
      <c r="I28" cm="1">
        <f t="array" ref="I28">MixedVelocityAvg($B28)</f>
        <v>25</v>
      </c>
    </row>
    <row r="29" spans="1:9" ht="18.75" customHeight="1">
      <c r="A29" s="13">
        <v>28</v>
      </c>
      <c r="B29" s="14" t="s">
        <v>47</v>
      </c>
      <c r="C29" s="13">
        <f>COUNTIFS(platform!$A:$A,B29,platform!$G:$G,1)</f>
        <v>0</v>
      </c>
      <c r="D29" s="49">
        <f>COUNTIF(platform!$A:$A,B29)</f>
        <v>15</v>
      </c>
      <c r="E29" t="str">
        <f t="shared" si="0"/>
        <v>0/15</v>
      </c>
      <c r="F29" s="13">
        <f>COUNTIFS(platform!$A:$A,B29,platform!$G:$G,1,platform!$E:$E,"step")</f>
        <v>0</v>
      </c>
      <c r="G29" s="13">
        <f>COUNTIFS(platform!$A:$A,B29,platform!$G:$G,1,platform!$E:$E,"nonstep")</f>
        <v>0</v>
      </c>
      <c r="H29" s="14" t="str">
        <f>IF($B29="","",MixedVelocities($B29))</f>
        <v>-</v>
      </c>
      <c r="I29" t="e" cm="1">
        <f t="array" ref="I29">MixedVelocityAvg($B29)</f>
        <v>#N/A</v>
      </c>
    </row>
    <row r="30" spans="1:9" ht="18.75" customHeight="1">
      <c r="A30" s="13">
        <v>29</v>
      </c>
      <c r="B30" s="14" t="s">
        <v>50</v>
      </c>
      <c r="C30" s="13">
        <f>COUNTIFS(platform!$A:$A,B30,platform!$G:$G,1)</f>
        <v>4</v>
      </c>
      <c r="D30" s="49">
        <f>COUNTIF(platform!$A:$A,B30)</f>
        <v>22</v>
      </c>
      <c r="E30" t="str">
        <f t="shared" si="0"/>
        <v>4/22</v>
      </c>
      <c r="F30" s="13">
        <f>COUNTIFS(platform!$A:$A,B30,platform!$G:$G,1,platform!$E:$E,"step")</f>
        <v>3</v>
      </c>
      <c r="G30" s="13">
        <f>COUNTIFS(platform!$A:$A,B30,platform!$G:$G,1,platform!$E:$E,"nonstep")</f>
        <v>1</v>
      </c>
      <c r="H30" s="14" t="str">
        <f>IF($B30="","",MixedVelocities($B30))</f>
        <v>35</v>
      </c>
      <c r="I30" cm="1">
        <f t="array" ref="I30">MixedVelocityAvg($B30)</f>
        <v>35</v>
      </c>
    </row>
    <row r="31" spans="1:9" ht="18.75" customHeight="1">
      <c r="A31" s="13">
        <v>30</v>
      </c>
      <c r="B31" s="14" t="s">
        <v>37</v>
      </c>
      <c r="C31" s="13">
        <f>COUNTIFS(platform!$A:$A,B31,platform!$G:$G,1)</f>
        <v>6</v>
      </c>
      <c r="D31" s="49">
        <f>COUNTIF(platform!$A:$A,B31)</f>
        <v>21</v>
      </c>
      <c r="E31" t="str">
        <f t="shared" si="0"/>
        <v>6/21</v>
      </c>
      <c r="F31" s="13">
        <f>COUNTIFS(platform!$A:$A,B31,platform!$G:$G,1,platform!$E:$E,"step")</f>
        <v>4</v>
      </c>
      <c r="G31" s="13">
        <f>COUNTIFS(platform!$A:$A,B31,platform!$G:$G,1,platform!$E:$E,"nonstep")</f>
        <v>2</v>
      </c>
      <c r="H31" s="14" t="str">
        <f>IF($B31="","",MixedVelocities($B31))</f>
        <v>107</v>
      </c>
      <c r="I31" cm="1">
        <f t="array" ref="I31">MixedVelocityAvg($B31)</f>
        <v>107</v>
      </c>
    </row>
    <row r="32" spans="1:9" ht="18.75" customHeight="1">
      <c r="A32" s="13">
        <v>31</v>
      </c>
      <c r="B32" s="14" t="s">
        <v>55</v>
      </c>
      <c r="C32" s="13">
        <f>COUNTIFS(platform!$A:$A,B32,platform!$G:$G,1)</f>
        <v>9</v>
      </c>
      <c r="D32" s="49">
        <f>COUNTIF(platform!$A:$A,B32)</f>
        <v>22</v>
      </c>
      <c r="E32" t="str">
        <f t="shared" si="0"/>
        <v>9/22</v>
      </c>
      <c r="F32" s="13">
        <f>COUNTIFS(platform!$A:$A,B32,platform!$G:$G,1,platform!$E:$E,"step")</f>
        <v>6</v>
      </c>
      <c r="G32" s="13">
        <f>COUNTIFS(platform!$A:$A,B32,platform!$G:$G,1,platform!$E:$E,"nonstep")</f>
        <v>3</v>
      </c>
      <c r="H32" s="14" t="str">
        <f>IF($B32="","",MixedVelocities($B32))</f>
        <v>45</v>
      </c>
      <c r="I32" cm="1">
        <f t="array" ref="I32">MixedVelocityAvg($B32)</f>
        <v>45</v>
      </c>
    </row>
    <row r="33" spans="1:9" ht="18.75" customHeight="1">
      <c r="A33" s="13">
        <v>32</v>
      </c>
      <c r="B33" s="14" t="s">
        <v>36</v>
      </c>
      <c r="C33" s="13">
        <f>COUNTIFS(platform!$A:$A,B33,platform!$G:$G,1)</f>
        <v>0</v>
      </c>
      <c r="D33" s="49">
        <f>COUNTIF(platform!$A:$A,B33)</f>
        <v>20</v>
      </c>
      <c r="E33" t="str">
        <f t="shared" si="0"/>
        <v>0/20</v>
      </c>
      <c r="F33" s="13">
        <f>COUNTIFS(platform!$A:$A,B33,platform!$G:$G,1,platform!$E:$E,"step")</f>
        <v>0</v>
      </c>
      <c r="G33" s="13">
        <f>COUNTIFS(platform!$A:$A,B33,platform!$G:$G,1,platform!$E:$E,"nonstep")</f>
        <v>0</v>
      </c>
      <c r="H33" s="14" t="str">
        <f>IF($B33="","",MixedVelocities($B33))</f>
        <v>-</v>
      </c>
      <c r="I33" t="e" cm="1">
        <f t="array" ref="I33">MixedVelocityAvg($B33)</f>
        <v>#N/A</v>
      </c>
    </row>
    <row r="34" spans="1:9" ht="18.75" customHeight="1">
      <c r="A34" s="13">
        <v>33</v>
      </c>
      <c r="B34" s="14" t="s">
        <v>42</v>
      </c>
      <c r="C34" s="13">
        <f>COUNTIFS(platform!$A:$A,B34,platform!$G:$G,1)</f>
        <v>0</v>
      </c>
      <c r="D34" s="49">
        <f>COUNTIF(platform!$A:$A,B34)</f>
        <v>18</v>
      </c>
      <c r="E34" t="str">
        <f t="shared" si="0"/>
        <v>0/18</v>
      </c>
      <c r="F34" s="13">
        <f>COUNTIFS(platform!$A:$A,B34,platform!$G:$G,1,platform!$E:$E,"step")</f>
        <v>0</v>
      </c>
      <c r="G34" s="13">
        <f>COUNTIFS(platform!$A:$A,B34,platform!$G:$G,1,platform!$E:$E,"nonstep")</f>
        <v>0</v>
      </c>
      <c r="H34" s="14" t="str">
        <f>IF($B34="","",MixedVelocities($B34))</f>
        <v>-</v>
      </c>
      <c r="I34" t="e" cm="1">
        <f t="array" ref="I34">MixedVelocityAvg($B34)</f>
        <v>#N/A</v>
      </c>
    </row>
    <row r="35" spans="1:9" ht="18.75" customHeight="1">
      <c r="A35" s="13">
        <v>34</v>
      </c>
      <c r="B35" s="14" t="s">
        <v>19</v>
      </c>
      <c r="C35" s="13">
        <f>COUNTIFS(platform!$A:$A,B35,platform!$G:$G,1)</f>
        <v>5</v>
      </c>
      <c r="D35" s="49">
        <f>COUNTIF(platform!$A:$A,B35)</f>
        <v>9</v>
      </c>
      <c r="E35" t="str">
        <f t="shared" si="0"/>
        <v>5/9</v>
      </c>
      <c r="F35" s="13">
        <f>COUNTIFS(platform!$A:$A,B35,platform!$G:$G,1,platform!$E:$E,"step")</f>
        <v>3</v>
      </c>
      <c r="G35" s="13">
        <f>COUNTIFS(platform!$A:$A,B35,platform!$G:$G,1,platform!$E:$E,"nonstep")</f>
        <v>2</v>
      </c>
      <c r="H35" s="14" t="str">
        <f>IF($B35="","",MixedVelocities($B35))</f>
        <v>45</v>
      </c>
      <c r="I35" cm="1">
        <f t="array" ref="I35">MixedVelocityAvg($B35)</f>
        <v>45</v>
      </c>
    </row>
    <row r="36" spans="1:9" ht="18.75" customHeight="1">
      <c r="A36" s="13">
        <v>35</v>
      </c>
      <c r="B36" s="14" t="s">
        <v>35</v>
      </c>
      <c r="C36" s="13">
        <f>COUNTIFS(platform!$A:$A,B36,platform!$G:$G,1)</f>
        <v>8</v>
      </c>
      <c r="D36" s="49">
        <f>COUNTIF(platform!$A:$A,B36)</f>
        <v>20</v>
      </c>
      <c r="E36" t="str">
        <f t="shared" si="0"/>
        <v>8/20</v>
      </c>
      <c r="F36" s="13">
        <f>COUNTIFS(platform!$A:$A,B36,platform!$G:$G,1,platform!$E:$E,"step")</f>
        <v>4</v>
      </c>
      <c r="G36" s="13">
        <f>COUNTIFS(platform!$A:$A,B36,platform!$G:$G,1,platform!$E:$E,"nonstep")</f>
        <v>4</v>
      </c>
      <c r="H36" s="14" t="str">
        <f>IF($B36="","",MixedVelocities($B36))</f>
        <v>15</v>
      </c>
      <c r="I36" cm="1">
        <f t="array" ref="I36">MixedVelocityAvg($B36)</f>
        <v>15</v>
      </c>
    </row>
    <row r="37" spans="1:9" ht="18.75" customHeight="1">
      <c r="A37" s="13">
        <v>36</v>
      </c>
      <c r="B37" s="14" t="s">
        <v>59</v>
      </c>
      <c r="C37" s="13">
        <f>COUNTIFS(platform!$A:$A,B37,platform!$G:$G,1)</f>
        <v>8</v>
      </c>
      <c r="D37" s="49">
        <f>COUNTIF(platform!$A:$A,B37)</f>
        <v>23</v>
      </c>
      <c r="E37" t="str">
        <f t="shared" si="0"/>
        <v>8/23</v>
      </c>
      <c r="F37" s="13">
        <f>COUNTIFS(platform!$A:$A,B37,platform!$G:$G,1,platform!$E:$E,"step")</f>
        <v>6</v>
      </c>
      <c r="G37" s="13">
        <f>COUNTIFS(platform!$A:$A,B37,platform!$G:$G,1,platform!$E:$E,"nonstep")</f>
        <v>2</v>
      </c>
      <c r="H37" s="14" t="str">
        <f>IF($B37="","",MixedVelocities($B37))</f>
        <v>35</v>
      </c>
      <c r="I37" cm="1">
        <f t="array" ref="I37">MixedVelocityAvg($B37)</f>
        <v>35</v>
      </c>
    </row>
    <row r="38" spans="1:9" ht="18.75" customHeight="1">
      <c r="A38" s="13">
        <v>37</v>
      </c>
      <c r="B38" s="14" t="s">
        <v>54</v>
      </c>
      <c r="C38" s="13">
        <f>COUNTIFS(platform!$A:$A,B38,platform!$G:$G,1)</f>
        <v>7</v>
      </c>
      <c r="D38" s="49">
        <f>COUNTIF(platform!$A:$A,B38)</f>
        <v>14</v>
      </c>
      <c r="E38" t="str">
        <f t="shared" si="0"/>
        <v>7/14</v>
      </c>
      <c r="F38" s="13">
        <f>COUNTIFS(platform!$A:$A,B38,platform!$G:$G,1,platform!$E:$E,"step")</f>
        <v>5</v>
      </c>
      <c r="G38" s="13">
        <f>COUNTIFS(platform!$A:$A,B38,platform!$G:$G,1,platform!$E:$E,"nonstep")</f>
        <v>2</v>
      </c>
      <c r="H38" s="14" t="str">
        <f>IF($B38="","",MixedVelocities($B38))</f>
        <v>30</v>
      </c>
      <c r="I38" cm="1">
        <f t="array" ref="I38">MixedVelocityAvg($B38)</f>
        <v>30</v>
      </c>
    </row>
    <row r="39" spans="1:9" ht="18.75" customHeight="1">
      <c r="A39" s="13">
        <v>38</v>
      </c>
      <c r="B39" s="14" t="s">
        <v>68</v>
      </c>
      <c r="C39" s="13">
        <f>COUNTIFS(platform!$A:$A,B39,platform!$G:$G,1)</f>
        <v>7</v>
      </c>
      <c r="D39" s="49">
        <f>COUNTIF(platform!$A:$A,B39)</f>
        <v>28</v>
      </c>
      <c r="E39" t="str">
        <f t="shared" si="0"/>
        <v>7/28</v>
      </c>
      <c r="F39" s="13">
        <f>COUNTIFS(platform!$A:$A,B39,platform!$G:$G,1,platform!$E:$E,"step")</f>
        <v>4</v>
      </c>
      <c r="G39" s="13">
        <f>COUNTIFS(platform!$A:$A,B39,platform!$G:$G,1,platform!$E:$E,"nonstep")</f>
        <v>3</v>
      </c>
      <c r="H39" s="14" t="str">
        <f>IF($B39="","",MixedVelocities($B39))</f>
        <v>20</v>
      </c>
      <c r="I39" cm="1">
        <f t="array" ref="I39">MixedVelocityAvg($B39)</f>
        <v>20</v>
      </c>
    </row>
    <row r="40" spans="1:9" ht="18.75" customHeight="1">
      <c r="A40" s="13">
        <v>39</v>
      </c>
      <c r="B40" s="14" t="s">
        <v>32</v>
      </c>
      <c r="C40" s="13">
        <f>COUNTIFS(platform!$A:$A,B40,platform!$G:$G,1)</f>
        <v>6</v>
      </c>
      <c r="D40" s="49">
        <f>COUNTIF(platform!$A:$A,B40)</f>
        <v>18</v>
      </c>
      <c r="E40" t="str">
        <f t="shared" si="0"/>
        <v>6/18</v>
      </c>
      <c r="F40" s="13">
        <f>COUNTIFS(platform!$A:$A,B40,platform!$G:$G,1,platform!$E:$E,"step")</f>
        <v>4</v>
      </c>
      <c r="G40" s="13">
        <f>COUNTIFS(platform!$A:$A,B40,platform!$G:$G,1,platform!$E:$E,"nonstep")</f>
        <v>2</v>
      </c>
      <c r="H40" s="14" t="str">
        <f>IF($B40="","",MixedVelocities($B40))</f>
        <v>15</v>
      </c>
      <c r="I40" cm="1">
        <f t="array" ref="I40">MixedVelocityAvg($B40)</f>
        <v>15</v>
      </c>
    </row>
    <row r="41" spans="1:9" ht="18.75" customHeight="1">
      <c r="A41" s="13">
        <v>40</v>
      </c>
      <c r="B41" s="14" t="s">
        <v>40</v>
      </c>
      <c r="C41" s="13">
        <f>COUNTIFS(platform!$A:$A,B41,platform!$G:$G,1)</f>
        <v>6</v>
      </c>
      <c r="D41" s="49">
        <f>COUNTIF(platform!$A:$A,B41)</f>
        <v>23</v>
      </c>
      <c r="E41" t="str">
        <f t="shared" si="0"/>
        <v>6/23</v>
      </c>
      <c r="F41" s="13">
        <f>COUNTIFS(platform!$A:$A,B41,platform!$G:$G,1,platform!$E:$E,"step")</f>
        <v>4</v>
      </c>
      <c r="G41" s="13">
        <f>COUNTIFS(platform!$A:$A,B41,platform!$G:$G,1,platform!$E:$E,"nonstep")</f>
        <v>2</v>
      </c>
      <c r="H41" s="14" t="str">
        <f>IF($B41="","",MixedVelocities($B41))</f>
        <v>126.4</v>
      </c>
      <c r="I41" cm="1">
        <f t="array" ref="I41">MixedVelocityAvg($B41)</f>
        <v>126.4</v>
      </c>
    </row>
    <row r="42" spans="1:9" ht="18.75" customHeight="1">
      <c r="A42" s="13">
        <v>41</v>
      </c>
      <c r="B42" s="14" t="s">
        <v>11</v>
      </c>
      <c r="C42" s="13">
        <f>COUNTIFS(platform!$A:$A,B42,platform!$G:$G,1)</f>
        <v>4</v>
      </c>
      <c r="D42" s="49">
        <f>COUNTIF(platform!$A:$A,B42)</f>
        <v>9</v>
      </c>
      <c r="E42" t="str">
        <f t="shared" si="0"/>
        <v>4/9</v>
      </c>
      <c r="F42" s="13">
        <f>COUNTIFS(platform!$A:$A,B42,platform!$G:$G,1,platform!$E:$E,"step")</f>
        <v>2</v>
      </c>
      <c r="G42" s="13">
        <f>COUNTIFS(platform!$A:$A,B42,platform!$G:$G,1,platform!$E:$E,"nonstep")</f>
        <v>2</v>
      </c>
      <c r="H42" s="14" t="str">
        <f>IF($B42="","",MixedVelocities($B42))</f>
        <v>20</v>
      </c>
      <c r="I42" cm="1">
        <f t="array" ref="I42">MixedVelocityAvg($B42)</f>
        <v>20</v>
      </c>
    </row>
    <row r="43" spans="1:9" ht="18.75" customHeight="1">
      <c r="A43" s="13">
        <v>42</v>
      </c>
      <c r="B43" s="14" t="s">
        <v>31</v>
      </c>
      <c r="C43" s="13">
        <f>COUNTIFS(platform!$A:$A,B43,platform!$G:$G,1)</f>
        <v>0</v>
      </c>
      <c r="D43" s="49">
        <f>COUNTIF(platform!$A:$A,B43)</f>
        <v>15</v>
      </c>
      <c r="E43" t="str">
        <f t="shared" si="0"/>
        <v>0/15</v>
      </c>
      <c r="F43" s="13">
        <f>COUNTIFS(platform!$A:$A,B43,platform!$G:$G,1,platform!$E:$E,"step")</f>
        <v>0</v>
      </c>
      <c r="G43" s="13">
        <f>COUNTIFS(platform!$A:$A,B43,platform!$G:$G,1,platform!$E:$E,"nonstep")</f>
        <v>0</v>
      </c>
      <c r="H43" s="14" t="str">
        <f>IF($B43="","",MixedVelocities($B43))</f>
        <v>-</v>
      </c>
      <c r="I43" t="e" cm="1">
        <f t="array" ref="I43">MixedVelocityAvg($B43)</f>
        <v>#N/A</v>
      </c>
    </row>
    <row r="44" spans="1:9" ht="18.75" customHeight="1">
      <c r="A44" s="13">
        <v>43</v>
      </c>
      <c r="B44" s="14" t="s">
        <v>62</v>
      </c>
      <c r="C44" s="13">
        <f>COUNTIFS(platform!$A:$A,B44,platform!$G:$G,1)</f>
        <v>9</v>
      </c>
      <c r="D44" s="49">
        <f>COUNTIF(platform!$A:$A,B44)</f>
        <v>22</v>
      </c>
      <c r="E44" t="str">
        <f t="shared" si="0"/>
        <v>9/22</v>
      </c>
      <c r="F44" s="13">
        <f>COUNTIFS(platform!$A:$A,B44,platform!$G:$G,1,platform!$E:$E,"step")</f>
        <v>5</v>
      </c>
      <c r="G44" s="13">
        <f>COUNTIFS(platform!$A:$A,B44,platform!$G:$G,1,platform!$E:$E,"nonstep")</f>
        <v>4</v>
      </c>
      <c r="H44" s="14" t="str">
        <f>IF($B44="","",MixedVelocities($B44))</f>
        <v>30</v>
      </c>
      <c r="I44" cm="1">
        <f t="array" ref="I44">MixedVelocityAvg($B44)</f>
        <v>30</v>
      </c>
    </row>
    <row r="45" spans="1:9" ht="18.75" customHeight="1">
      <c r="A45" s="13">
        <v>44</v>
      </c>
      <c r="B45" s="14" t="s">
        <v>20</v>
      </c>
      <c r="C45" s="13">
        <f>COUNTIFS(platform!$A:$A,B45,platform!$G:$G,1)</f>
        <v>0</v>
      </c>
      <c r="D45" s="49">
        <f>COUNTIF(platform!$A:$A,B45)</f>
        <v>12</v>
      </c>
      <c r="E45" t="str">
        <f t="shared" si="0"/>
        <v>0/12</v>
      </c>
      <c r="F45" s="13">
        <f>COUNTIFS(platform!$A:$A,B45,platform!$G:$G,1,platform!$E:$E,"step")</f>
        <v>0</v>
      </c>
      <c r="G45" s="13">
        <f>COUNTIFS(platform!$A:$A,B45,platform!$G:$G,1,platform!$E:$E,"nonstep")</f>
        <v>0</v>
      </c>
      <c r="H45" s="14" t="str">
        <f>IF($B45="","",MixedVelocities($B45))</f>
        <v>-</v>
      </c>
      <c r="I45" t="e" cm="1">
        <f t="array" ref="I45">MixedVelocityAvg($B45)</f>
        <v>#N/A</v>
      </c>
    </row>
    <row r="46" spans="1:9" ht="18.75" customHeight="1">
      <c r="A46" s="13">
        <v>45</v>
      </c>
      <c r="B46" s="14" t="s">
        <v>48</v>
      </c>
      <c r="C46" s="13">
        <f>COUNTIFS(platform!$A:$A,B46,platform!$G:$G,1)</f>
        <v>0</v>
      </c>
      <c r="D46" s="49">
        <f>COUNTIF(platform!$A:$A,B46)</f>
        <v>21</v>
      </c>
      <c r="E46" t="str">
        <f t="shared" si="0"/>
        <v>0/21</v>
      </c>
      <c r="F46" s="13">
        <f>COUNTIFS(platform!$A:$A,B46,platform!$G:$G,1,platform!$E:$E,"step")</f>
        <v>0</v>
      </c>
      <c r="G46" s="13">
        <f>COUNTIFS(platform!$A:$A,B46,platform!$G:$G,1,platform!$E:$E,"nonstep")</f>
        <v>0</v>
      </c>
      <c r="H46" s="14" t="str">
        <f>IF($B46="","",MixedVelocities($B46))</f>
        <v>-</v>
      </c>
      <c r="I46" t="e" cm="1">
        <f t="array" ref="I46">MixedVelocityAvg($B46)</f>
        <v>#N/A</v>
      </c>
    </row>
    <row r="47" spans="1:9" ht="18.75" customHeight="1">
      <c r="A47" s="13">
        <v>46</v>
      </c>
      <c r="B47" s="14" t="s">
        <v>33</v>
      </c>
      <c r="C47" s="13">
        <f>COUNTIFS(platform!$A:$A,B47,platform!$G:$G,1)</f>
        <v>0</v>
      </c>
      <c r="D47" s="49">
        <f>COUNTIF(platform!$A:$A,B47)</f>
        <v>16</v>
      </c>
      <c r="E47" t="str">
        <f t="shared" si="0"/>
        <v>0/16</v>
      </c>
      <c r="F47" s="13">
        <f>COUNTIFS(platform!$A:$A,B47,platform!$G:$G,1,platform!$E:$E,"step")</f>
        <v>0</v>
      </c>
      <c r="G47" s="13">
        <f>COUNTIFS(platform!$A:$A,B47,platform!$G:$G,1,platform!$E:$E,"nonstep")</f>
        <v>0</v>
      </c>
      <c r="H47" s="14" t="str">
        <f>IF($B47="","",MixedVelocities($B47))</f>
        <v>-</v>
      </c>
      <c r="I47" t="e" cm="1">
        <f t="array" ref="I47">MixedVelocityAvg($B47)</f>
        <v>#N/A</v>
      </c>
    </row>
    <row r="48" spans="1:9" ht="18.75" customHeight="1">
      <c r="A48" s="13">
        <v>47</v>
      </c>
      <c r="B48" s="14" t="s">
        <v>51</v>
      </c>
      <c r="C48" s="13">
        <f>COUNTIFS(platform!$A:$A,B48,platform!$G:$G,1)</f>
        <v>6</v>
      </c>
      <c r="D48" s="49">
        <f>COUNTIF(platform!$A:$A,B48)</f>
        <v>19</v>
      </c>
      <c r="E48" t="str">
        <f t="shared" si="0"/>
        <v>6/19</v>
      </c>
      <c r="F48" s="13">
        <f>COUNTIFS(platform!$A:$A,B48,platform!$G:$G,1,platform!$E:$E,"step")</f>
        <v>4</v>
      </c>
      <c r="G48" s="13">
        <f>COUNTIFS(platform!$A:$A,B48,platform!$G:$G,1,platform!$E:$E,"nonstep")</f>
        <v>2</v>
      </c>
      <c r="H48" s="14" t="str">
        <f>IF($B48="","",MixedVelocities($B48))</f>
        <v>20</v>
      </c>
      <c r="I48" cm="1">
        <f t="array" ref="I48">MixedVelocityAvg($B48)</f>
        <v>20</v>
      </c>
    </row>
    <row r="49" spans="1:9" ht="18.75" customHeight="1">
      <c r="A49" s="13">
        <v>48</v>
      </c>
      <c r="B49" s="14" t="s">
        <v>26</v>
      </c>
      <c r="C49" s="13">
        <f>COUNTIFS(platform!$A:$A,B49,platform!$G:$G,1)</f>
        <v>8</v>
      </c>
      <c r="D49" s="49">
        <f>COUNTIF(platform!$A:$A,B49)</f>
        <v>21</v>
      </c>
      <c r="E49" t="str">
        <f t="shared" si="0"/>
        <v>8/21</v>
      </c>
      <c r="F49" s="13">
        <f>COUNTIFS(platform!$A:$A,B49,platform!$G:$G,1,platform!$E:$E,"step")</f>
        <v>5</v>
      </c>
      <c r="G49" s="13">
        <f>COUNTIFS(platform!$A:$A,B49,platform!$G:$G,1,platform!$E:$E,"nonstep")</f>
        <v>3</v>
      </c>
      <c r="H49" s="14" t="str">
        <f>IF($B49="","",MixedVelocities($B49))</f>
        <v>30</v>
      </c>
      <c r="I49" cm="1">
        <f t="array" ref="I49">MixedVelocityAvg($B49)</f>
        <v>30</v>
      </c>
    </row>
    <row r="50" spans="1:9" ht="18.75" customHeight="1">
      <c r="A50" s="13">
        <v>49</v>
      </c>
      <c r="B50" s="14" t="s">
        <v>39</v>
      </c>
      <c r="C50" s="13">
        <f>COUNTIFS(platform!$A:$A,B50,platform!$G:$G,1)</f>
        <v>0</v>
      </c>
      <c r="D50" s="49">
        <f>COUNTIF(platform!$A:$A,B50)</f>
        <v>20</v>
      </c>
      <c r="E50" t="str">
        <f t="shared" si="0"/>
        <v>0/20</v>
      </c>
      <c r="F50" s="13">
        <f>COUNTIFS(platform!$A:$A,B50,platform!$G:$G,1,platform!$E:$E,"step")</f>
        <v>0</v>
      </c>
      <c r="G50" s="13">
        <f>COUNTIFS(platform!$A:$A,B50,platform!$G:$G,1,platform!$E:$E,"nonstep")</f>
        <v>0</v>
      </c>
      <c r="H50" s="14" t="str">
        <f>IF($B50="","",MixedVelocities($B50))</f>
        <v>-</v>
      </c>
      <c r="I50" t="e" cm="1">
        <f t="array" ref="I50">MixedVelocityAvg($B50)</f>
        <v>#N/A</v>
      </c>
    </row>
    <row r="51" spans="1:9" ht="18.75" customHeight="1">
      <c r="A51" s="13">
        <v>50</v>
      </c>
      <c r="B51" s="14" t="s">
        <v>63</v>
      </c>
      <c r="C51" s="13">
        <f>COUNTIFS(platform!$A:$A,B51,platform!$G:$G,1)</f>
        <v>11</v>
      </c>
      <c r="D51" s="49">
        <f>COUNTIF(platform!$A:$A,B51)</f>
        <v>20</v>
      </c>
      <c r="E51" t="str">
        <f t="shared" si="0"/>
        <v>11/20</v>
      </c>
      <c r="F51" s="13">
        <f>COUNTIFS(platform!$A:$A,B51,platform!$G:$G,1,platform!$E:$E,"step")</f>
        <v>4</v>
      </c>
      <c r="G51" s="13">
        <f>COUNTIFS(platform!$A:$A,B51,platform!$G:$G,1,platform!$E:$E,"nonstep")</f>
        <v>7</v>
      </c>
      <c r="H51" s="14" t="str">
        <f>IF($B51="","",MixedVelocities($B51))</f>
        <v>35</v>
      </c>
      <c r="I51" cm="1">
        <f t="array" ref="I51">MixedVelocityAvg($B51)</f>
        <v>35</v>
      </c>
    </row>
    <row r="52" spans="1:9" ht="18.75" customHeight="1">
      <c r="A52" s="13">
        <v>51</v>
      </c>
      <c r="B52" s="14" t="s">
        <v>21</v>
      </c>
      <c r="C52" s="13">
        <f>COUNTIFS(platform!$A:$A,B52,platform!$G:$G,1)</f>
        <v>0</v>
      </c>
      <c r="D52" s="49">
        <f>COUNTIF(platform!$A:$A,B52)</f>
        <v>12</v>
      </c>
      <c r="E52" t="str">
        <f t="shared" si="0"/>
        <v>0/12</v>
      </c>
      <c r="F52" s="13">
        <f>COUNTIFS(platform!$A:$A,B52,platform!$G:$G,1,platform!$E:$E,"step")</f>
        <v>0</v>
      </c>
      <c r="G52" s="13">
        <f>COUNTIFS(platform!$A:$A,B52,platform!$G:$G,1,platform!$E:$E,"nonstep")</f>
        <v>0</v>
      </c>
      <c r="H52" s="14" t="str">
        <f>IF($B52="","",MixedVelocities($B52))</f>
        <v>-</v>
      </c>
      <c r="I52" t="e" cm="1">
        <f t="array" ref="I52">MixedVelocityAvg($B52)</f>
        <v>#N/A</v>
      </c>
    </row>
    <row r="53" spans="1:9" ht="18.75" customHeight="1">
      <c r="A53" s="13">
        <v>52</v>
      </c>
      <c r="B53" s="14" t="s">
        <v>34</v>
      </c>
      <c r="C53" s="13">
        <f>COUNTIFS(platform!$A:$A,B53,platform!$G:$G,1)</f>
        <v>5</v>
      </c>
      <c r="D53" s="49">
        <f>COUNTIF(platform!$A:$A,B53)</f>
        <v>22</v>
      </c>
      <c r="E53" t="str">
        <f t="shared" si="0"/>
        <v>5/22</v>
      </c>
      <c r="F53" s="13">
        <f>COUNTIFS(platform!$A:$A,B53,platform!$G:$G,1,platform!$E:$E,"step")</f>
        <v>3</v>
      </c>
      <c r="G53" s="13">
        <f>COUNTIFS(platform!$A:$A,B53,platform!$G:$G,1,platform!$E:$E,"nonstep")</f>
        <v>2</v>
      </c>
      <c r="H53" s="14" t="str">
        <f>IF($B53="","",MixedVelocities($B53))</f>
        <v>18</v>
      </c>
      <c r="I53" cm="1">
        <f t="array" ref="I53">MixedVelocityAvg($B53)</f>
        <v>18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platform</vt:lpstr>
      <vt:lpstr>meta</vt:lpstr>
      <vt:lpstr>report_meta_inform_mixed</vt:lpstr>
      <vt:lpstr>actual_velocity</vt:lpstr>
      <vt:lpstr>report_meta_inform</vt:lpstr>
      <vt:lpstr>transpose_meta</vt:lpstr>
      <vt:lpstr>aggregate_mixed</vt:lpstr>
      <vt:lpstr>transpose_meta!_FilterDatabase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조민석</cp:lastModifiedBy>
  <cp:revision/>
  <dcterms:created xsi:type="dcterms:W3CDTF">2025-12-11T03:36:40Z</dcterms:created>
  <dcterms:modified xsi:type="dcterms:W3CDTF">2026-02-13T04:47:57Z</dcterms:modified>
  <cp:category/>
  <cp:contentStatus/>
</cp:coreProperties>
</file>